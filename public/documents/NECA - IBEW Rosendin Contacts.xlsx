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eter\Box\Personal\Work Stuff\"/>
    </mc:Choice>
  </mc:AlternateContent>
  <xr:revisionPtr revIDLastSave="0" documentId="13_ncr:1_{53586810-A945-4F8E-97E2-618E010115B6}" xr6:coauthVersionLast="47" xr6:coauthVersionMax="47" xr10:uidLastSave="{00000000-0000-0000-0000-000000000000}"/>
  <bookViews>
    <workbookView xWindow="-120" yWindow="-120" windowWidth="38640" windowHeight="21120" xr2:uid="{FBAEBF79-604C-4724-A435-1128F8A469E2}"/>
  </bookViews>
  <sheets>
    <sheet name="ALL Unions" sheetId="1" r:id="rId1"/>
    <sheet name="NECA Chapters(Debra)" sheetId="2" r:id="rId2"/>
    <sheet name="NECA Committees REI reps" sheetId="4" r:id="rId3"/>
    <sheet name="NECA REI Contact List" sheetId="3" r:id="rId4"/>
  </sheets>
  <definedNames>
    <definedName name="_xlnm._FilterDatabase" localSheetId="0" hidden="1">'ALL Unions'!$A$1:$C$74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C2" i="1"/>
  <c r="C3" i="1"/>
  <c r="C4" i="1"/>
  <c r="C5" i="1"/>
  <c r="C6" i="1"/>
  <c r="C7" i="1"/>
  <c r="C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9" i="1"/>
  <c r="C10" i="1"/>
  <c r="C11" i="1"/>
  <c r="C12" i="1"/>
  <c r="C14" i="1"/>
  <c r="C15" i="1"/>
  <c r="C16" i="1"/>
  <c r="C17" i="1"/>
  <c r="C18" i="1"/>
  <c r="C13" i="1"/>
</calcChain>
</file>

<file path=xl/sharedStrings.xml><?xml version="1.0" encoding="utf-8"?>
<sst xmlns="http://schemas.openxmlformats.org/spreadsheetml/2006/main" count="1224" uniqueCount="626">
  <si>
    <t>12 OP</t>
  </si>
  <si>
    <t>47 L</t>
  </si>
  <si>
    <t>70 L</t>
  </si>
  <si>
    <t>191E</t>
  </si>
  <si>
    <t>595W</t>
  </si>
  <si>
    <t>602 L</t>
  </si>
  <si>
    <t>681 L</t>
  </si>
  <si>
    <t>1245 L</t>
  </si>
  <si>
    <t>Contract Name</t>
  </si>
  <si>
    <t>Northern CA - Operating Engineers</t>
  </si>
  <si>
    <t>6 SF, CA - Inside Wireman</t>
  </si>
  <si>
    <t>11 LA, CA - Inside Wireman</t>
  </si>
  <si>
    <t>Southern CA - Operating Engineers</t>
  </si>
  <si>
    <t>24 Baltimore, MD - Inside Wireman</t>
  </si>
  <si>
    <t>26 DC Chapter - Inside Wireman</t>
  </si>
  <si>
    <t>47 L Southern CA - Line Construction</t>
  </si>
  <si>
    <t xml:space="preserve">48 Portland, OR - Inside Wireman </t>
  </si>
  <si>
    <t>60 San Antonio, TX - Inside Wireman</t>
  </si>
  <si>
    <t>70 L - DC, KY, MD, VA, WV, DC - Lineman</t>
  </si>
  <si>
    <t>72 Waco, TX - Inside Wireman</t>
  </si>
  <si>
    <t>76 Southwest WA - Inside Wireman</t>
  </si>
  <si>
    <t>80 Chesapeake, VA - Inside Wireman</t>
  </si>
  <si>
    <t>100 Fresno, CA - Inside Wireman</t>
  </si>
  <si>
    <t>112 Kennewick, WA - Inside Wireman</t>
  </si>
  <si>
    <t>143 Harrisburg, PA - Inside Wireman</t>
  </si>
  <si>
    <t>180 Napa/Solano Counties, CA - Inside Wireman</t>
  </si>
  <si>
    <t>191E Everett, WA - Inside Wireman</t>
  </si>
  <si>
    <t>Southern CA - Carpenters</t>
  </si>
  <si>
    <t>Northern CA - Carpernters</t>
  </si>
  <si>
    <t>Southwestern, TX - Lineman</t>
  </si>
  <si>
    <t>280 Springfield, OR - Inside Wireman</t>
  </si>
  <si>
    <t>291 Boise, ID - Inside Wireman</t>
  </si>
  <si>
    <t>302 Contra Costa County, CA - Inside Wireman</t>
  </si>
  <si>
    <t>332 San Jose, CA - Inside Wireman</t>
  </si>
  <si>
    <t>340 Sacramento, CA - Inside Wireman</t>
  </si>
  <si>
    <t>357 Las Vegas, NV - Inside Wireman</t>
  </si>
  <si>
    <t>379 Charlotte, NC - Inside Wireman</t>
  </si>
  <si>
    <t>401 Reno, NV - Inside Wireman</t>
  </si>
  <si>
    <t>428 Kern County, CA - Inside Wireman</t>
  </si>
  <si>
    <t>440 Riverside, CA - Inside Wireman</t>
  </si>
  <si>
    <t>441 Orange County, CA - Inside Wireman</t>
  </si>
  <si>
    <t>477 San Bernadino, CA - Inside Wireman</t>
  </si>
  <si>
    <t>520 Central TX - Inside Wireman</t>
  </si>
  <si>
    <t>527 Galveston,  TX - Inside Wireman</t>
  </si>
  <si>
    <t>569 San Diego, CA - Inside Wireman</t>
  </si>
  <si>
    <t>570 Tucson, AZ - Inside Wireman</t>
  </si>
  <si>
    <t>602 Amarillo, TX - Inside Wireman</t>
  </si>
  <si>
    <t>617 San Mateo County, CA - Inside Wireman</t>
  </si>
  <si>
    <t>640 Phoenix, AZ - Inside Wireman</t>
  </si>
  <si>
    <t>681 Wichita Falls, TX - Inside Wireman</t>
  </si>
  <si>
    <t>716 SE Texas - Inside Wireman</t>
  </si>
  <si>
    <t>952 Ventura County, CA Inside Wireman</t>
  </si>
  <si>
    <t>1186 Kauai, HI - Inside Wireman</t>
  </si>
  <si>
    <t>Northern CA - Lineman</t>
  </si>
  <si>
    <t>20 Arlington, TX - Inside Wireman</t>
  </si>
  <si>
    <t>769 HWY</t>
  </si>
  <si>
    <t>769 Gilbert, AZ - Traffic Signal and Street Light</t>
  </si>
  <si>
    <t>429 Nashville, TN - Inside Wireman</t>
  </si>
  <si>
    <t>11 LB</t>
  </si>
  <si>
    <t>413 Santa Barbara - Inside Wireman</t>
  </si>
  <si>
    <t>66 L</t>
  </si>
  <si>
    <t>66 L Pasadena, TX - Lineman</t>
  </si>
  <si>
    <t>595 West, Alameda County, CA - Inside Wireman</t>
  </si>
  <si>
    <t>769 L</t>
  </si>
  <si>
    <t>769 L Gilbert, AZ - Lineman</t>
  </si>
  <si>
    <t>666 Richmond, VA - Inside Wireman</t>
  </si>
  <si>
    <t>558  Sheffield, AL - Inside Wireman</t>
  </si>
  <si>
    <t>354 Salt Lake, UT - Inside Wireman</t>
  </si>
  <si>
    <t>557 Saginaw, MI - Inside Wireman</t>
  </si>
  <si>
    <t>Southern CA - Laborers (Including locals 89, 220, 300, 585, 652, 783, 1309, 345, 1414)</t>
  </si>
  <si>
    <t>Northern CA - Laborers (Including locals 67, 73, 166, 185, 261, 294, 304, 324, 886, 1130)</t>
  </si>
  <si>
    <t>1184 AZ</t>
  </si>
  <si>
    <t>Arizona - Laborers</t>
  </si>
  <si>
    <t>11 Virginia - Laborers</t>
  </si>
  <si>
    <t>583 El Paso, TX - Inside Wireman</t>
  </si>
  <si>
    <t>611 L</t>
  </si>
  <si>
    <t>611 L Albuquerque, NM - Lineman</t>
  </si>
  <si>
    <t>Union</t>
  </si>
  <si>
    <t>917 Meridian, MS - Inside Agreement</t>
  </si>
  <si>
    <t>776 L</t>
  </si>
  <si>
    <t>776 North Charleston, SC - Inside Wireman</t>
  </si>
  <si>
    <t>776 L North and South Carolina - Lineman</t>
  </si>
  <si>
    <t>234 Monterey/Santa Cruz , CA - Inside Wireman</t>
  </si>
  <si>
    <t>220 L</t>
  </si>
  <si>
    <t>196 L</t>
  </si>
  <si>
    <t xml:space="preserve">415 Cheyenne, WY - Southern Inside </t>
  </si>
  <si>
    <t>57 L</t>
  </si>
  <si>
    <t>89 San Diego, CA - Laborers</t>
  </si>
  <si>
    <t>57 L Interamountain Line Construction, UT - Lineman</t>
  </si>
  <si>
    <t>196 L Huntley, IL - Lineman</t>
  </si>
  <si>
    <t>NECA Chapter</t>
  </si>
  <si>
    <t xml:space="preserve">Rosendin Member </t>
  </si>
  <si>
    <t>Committee</t>
  </si>
  <si>
    <t># of instructors</t>
  </si>
  <si>
    <t>Primary Affiliation: Mailing/Billing State/Province (text only)  ↑</t>
  </si>
  <si>
    <t>Primary Affiliation: Account Name  ↑</t>
  </si>
  <si>
    <t>Division Name  ↑</t>
  </si>
  <si>
    <t>IBEW LU</t>
  </si>
  <si>
    <t>AK</t>
  </si>
  <si>
    <t>Alaska Chapter NECA</t>
  </si>
  <si>
    <t>Anchorage Division - 1547</t>
  </si>
  <si>
    <t>AL</t>
  </si>
  <si>
    <t>Gulf Coast Chapter NECA</t>
  </si>
  <si>
    <t>Birmingham Division - 136</t>
  </si>
  <si>
    <t>Gulfport Division - 903</t>
  </si>
  <si>
    <t>Mobile Division - 505</t>
  </si>
  <si>
    <t>Sheffield Division - 558</t>
  </si>
  <si>
    <t>AR</t>
  </si>
  <si>
    <t>Arkansas Chapter NECA</t>
  </si>
  <si>
    <t>El Dorado Division - 436</t>
  </si>
  <si>
    <t>Ft Smith Division - 700</t>
  </si>
  <si>
    <t>Jonesboro Division - 1516</t>
  </si>
  <si>
    <t>Little Rock Division - 295</t>
  </si>
  <si>
    <t>Texarkana Division - 301</t>
  </si>
  <si>
    <t>AZ</t>
  </si>
  <si>
    <t>Arizona Chapter NECA</t>
  </si>
  <si>
    <t>Phoenix Division - 640</t>
  </si>
  <si>
    <t>Southern Arizona Chapter NECA</t>
  </si>
  <si>
    <t>Globe-Miami Division - 518</t>
  </si>
  <si>
    <t>Tucson Division - 570</t>
  </si>
  <si>
    <t>CA</t>
  </si>
  <si>
    <t>California Central Coast Chapter NECA</t>
  </si>
  <si>
    <t>San Luis Obispo Division - 639</t>
  </si>
  <si>
    <t>Santa Barbara Division - 413</t>
  </si>
  <si>
    <t>Contra Costa Chapter NECA</t>
  </si>
  <si>
    <t>Martinez Division - 302</t>
  </si>
  <si>
    <t>East Central California Chapter NECA</t>
  </si>
  <si>
    <t>Fresno Division - 100</t>
  </si>
  <si>
    <t>Greater Sacramento Chapter NECA</t>
  </si>
  <si>
    <t>Reno Division - 401</t>
  </si>
  <si>
    <t>Sacramento Division - 340</t>
  </si>
  <si>
    <t>Kern County Chapter NECA</t>
  </si>
  <si>
    <t>Bakersfield Division -428</t>
  </si>
  <si>
    <t>Los Angeles County Chapter NECA</t>
  </si>
  <si>
    <t>Los Angeles Division - 11</t>
  </si>
  <si>
    <t>Ventura Division - 952</t>
  </si>
  <si>
    <t>Monterey Bay California Chapter NECA</t>
  </si>
  <si>
    <t>Salinas Division - 234</t>
  </si>
  <si>
    <t>Northern California Chapter NECA</t>
  </si>
  <si>
    <t>Alameda County Division - 595</t>
  </si>
  <si>
    <t>Modesto Division - 684</t>
  </si>
  <si>
    <t>Solano Napa Counties Div - 180</t>
  </si>
  <si>
    <t>Stockton Division - 595e</t>
  </si>
  <si>
    <t>Orange County Chapter NECA</t>
  </si>
  <si>
    <t>Orange Division - 441</t>
  </si>
  <si>
    <t>Redwood Empire Chapter NECA</t>
  </si>
  <si>
    <t>Santa Rosa Division - 551</t>
  </si>
  <si>
    <t>San Diego Chapter NECA</t>
  </si>
  <si>
    <t>San Diego Division - 569</t>
  </si>
  <si>
    <t>San Francisco Chapter NECA</t>
  </si>
  <si>
    <t>San Francisco Division - 6</t>
  </si>
  <si>
    <t>San Mateo Chapter NECA</t>
  </si>
  <si>
    <t>San Mateo Division - 617</t>
  </si>
  <si>
    <t>Santa Clara Valley Chapter NECA</t>
  </si>
  <si>
    <t>San Jose Division - 332</t>
  </si>
  <si>
    <t>Southern Sierras Chapter NECA</t>
  </si>
  <si>
    <t>Riverside Division - 440</t>
  </si>
  <si>
    <t>San Bernardino Division - 477</t>
  </si>
  <si>
    <t>CO</t>
  </si>
  <si>
    <t>Rocky Mountain Chapter NECA</t>
  </si>
  <si>
    <t>Denver Front Range Div - 68</t>
  </si>
  <si>
    <t>Western Slope - 969</t>
  </si>
  <si>
    <t>Southern Colorado Chapter NECA</t>
  </si>
  <si>
    <t>Colorado Springs Division-113</t>
  </si>
  <si>
    <t>Pueblo Division - 12</t>
  </si>
  <si>
    <t>CT</t>
  </si>
  <si>
    <t>Connecticut Chapter NECA</t>
  </si>
  <si>
    <t>Bridgeport Division - 488</t>
  </si>
  <si>
    <t>Hartford Division - 35</t>
  </si>
  <si>
    <t>New Haven Division - 90</t>
  </si>
  <si>
    <t>FL</t>
  </si>
  <si>
    <t>Central Florida Chapter NECA</t>
  </si>
  <si>
    <t>Orlando Division -  606</t>
  </si>
  <si>
    <t>Florida West Coast Chapter NECA</t>
  </si>
  <si>
    <t>Tampa Division -  915</t>
  </si>
  <si>
    <t>North Florida Chapter NECA</t>
  </si>
  <si>
    <t>Daytona Division - 756</t>
  </si>
  <si>
    <t>Gainesville Division - 1205</t>
  </si>
  <si>
    <t>Jacksonville Division - 177</t>
  </si>
  <si>
    <t>South Florida Chapter NECA</t>
  </si>
  <si>
    <t>North(Ft Lauderdale/W Palm-728</t>
  </si>
  <si>
    <t>West Coast Division - 349</t>
  </si>
  <si>
    <t>GA</t>
  </si>
  <si>
    <t>Atlanta Chapter NECA</t>
  </si>
  <si>
    <t>Atlanta Division - 613</t>
  </si>
  <si>
    <t>Georgia Chapter NECA</t>
  </si>
  <si>
    <t>Augusta Division - 1579</t>
  </si>
  <si>
    <t>Eastern Division - 508</t>
  </si>
  <si>
    <t>Western Division-1531,1316</t>
  </si>
  <si>
    <t>HI</t>
  </si>
  <si>
    <t>Hawaii Chapter NECA</t>
  </si>
  <si>
    <t>Hawaii Division - 1186</t>
  </si>
  <si>
    <t>IA</t>
  </si>
  <si>
    <t>Iowa Chapter NECA</t>
  </si>
  <si>
    <t>Cedar Rapids Division - 405</t>
  </si>
  <si>
    <t>Des Moines Division - 347</t>
  </si>
  <si>
    <t>Dubuque Division - 704</t>
  </si>
  <si>
    <t>Ottumwa Division - 13</t>
  </si>
  <si>
    <t>Sioux City Division - 231</t>
  </si>
  <si>
    <t>Waterloo Division - 288</t>
  </si>
  <si>
    <t>Quad Cities Chapter NECA</t>
  </si>
  <si>
    <t>Quad Cities Division - 145</t>
  </si>
  <si>
    <t>ID</t>
  </si>
  <si>
    <t>Idaho Chapter NECA</t>
  </si>
  <si>
    <t>Eastern Division - 449</t>
  </si>
  <si>
    <t>Western Division - 291</t>
  </si>
  <si>
    <t>IL</t>
  </si>
  <si>
    <t>Central Illinois Chapter NECA</t>
  </si>
  <si>
    <t>Peoria Division - 34</t>
  </si>
  <si>
    <t>Chicago &amp; Cook County Chapter NECA</t>
  </si>
  <si>
    <t>Chicago Division - 134</t>
  </si>
  <si>
    <t>Eastern Illinois Chapter NECA</t>
  </si>
  <si>
    <t>Central Division - 176</t>
  </si>
  <si>
    <t>Illinois Chapter NECA</t>
  </si>
  <si>
    <t>Alton-Wood River Division-649</t>
  </si>
  <si>
    <t>Bloomington Division - 197</t>
  </si>
  <si>
    <t>Champaign-Urbana/StreatorP-601</t>
  </si>
  <si>
    <t>Danville Division - 538</t>
  </si>
  <si>
    <t>Midstate Division - 146</t>
  </si>
  <si>
    <t>Southern Illinois Div - 702</t>
  </si>
  <si>
    <t>Southwestern Illinois Div-309</t>
  </si>
  <si>
    <t>Springfield Division - 193</t>
  </si>
  <si>
    <t>Northeastern Illinois Chapter NECA</t>
  </si>
  <si>
    <t>Aurora Division- 461</t>
  </si>
  <si>
    <t>Dupage County(Wheaton) Div-701</t>
  </si>
  <si>
    <t>Elgin Division - 117</t>
  </si>
  <si>
    <t>Lake County Division - 150</t>
  </si>
  <si>
    <t>Northern Illinois Chapter NECA</t>
  </si>
  <si>
    <t>Rockford Division - 364</t>
  </si>
  <si>
    <t>IN</t>
  </si>
  <si>
    <t>Central Indiana Chapter NECA</t>
  </si>
  <si>
    <t>Fort Wayne Division - 305</t>
  </si>
  <si>
    <t>Indianapolis Division - 481</t>
  </si>
  <si>
    <t>Kokomo Division - 873</t>
  </si>
  <si>
    <t>Lafayette Division - 668</t>
  </si>
  <si>
    <t>Muncie Division - 855</t>
  </si>
  <si>
    <t>Terre Haute Division - 725</t>
  </si>
  <si>
    <t>Northern Indiana Chapter NECA</t>
  </si>
  <si>
    <t>Gary &amp; Hammond Division-697</t>
  </si>
  <si>
    <t>La Porte Division- -531</t>
  </si>
  <si>
    <t>South Bend Division - 153</t>
  </si>
  <si>
    <t>Southern Indiana Chapter NECA</t>
  </si>
  <si>
    <t>Evansville Division - 16</t>
  </si>
  <si>
    <t>Owensboro Division - 1701</t>
  </si>
  <si>
    <t>Paducah Division - 816</t>
  </si>
  <si>
    <t>KS</t>
  </si>
  <si>
    <t>Kansas Chapter NECA</t>
  </si>
  <si>
    <t>Hutchinson Division - 661</t>
  </si>
  <si>
    <t>Topeka Division - 226</t>
  </si>
  <si>
    <t>Wichita Division - 271</t>
  </si>
  <si>
    <t>KY</t>
  </si>
  <si>
    <t>Louisville Chapter NECA</t>
  </si>
  <si>
    <t>Louisville Division - 369</t>
  </si>
  <si>
    <t>LA</t>
  </si>
  <si>
    <t>Baton Rouge Chapter NECA</t>
  </si>
  <si>
    <t>Baton Rouge Division - 995</t>
  </si>
  <si>
    <t>Northeast Louisiana Chapter NECA</t>
  </si>
  <si>
    <t>Monroe Division - 446</t>
  </si>
  <si>
    <t>North Louisiana Chapter NECA</t>
  </si>
  <si>
    <t>Alexandria Division - 576</t>
  </si>
  <si>
    <t>Shreveport Division - 194</t>
  </si>
  <si>
    <t>South Louisiana Chapter NECA</t>
  </si>
  <si>
    <t>Bogalusa Division - 1077</t>
  </si>
  <si>
    <t>New Orleans Division - 130</t>
  </si>
  <si>
    <t>Southwest Louisiana Chapter NECA</t>
  </si>
  <si>
    <t>Southwest Louisiana Div - 861</t>
  </si>
  <si>
    <t>MA</t>
  </si>
  <si>
    <t>Boston Chapter NECA</t>
  </si>
  <si>
    <t>Boston Division - 103</t>
  </si>
  <si>
    <t>Maine Division - 567, 1257</t>
  </si>
  <si>
    <t>New Hampshire Division - 490</t>
  </si>
  <si>
    <t>Central Massachusetts Chapter NECA</t>
  </si>
  <si>
    <t>Worcester Division - 96</t>
  </si>
  <si>
    <t>Western Massachusetts Chapter NECA</t>
  </si>
  <si>
    <t>Springfield Division - 7</t>
  </si>
  <si>
    <t>MD</t>
  </si>
  <si>
    <t>Maryland Chapter NECA</t>
  </si>
  <si>
    <t>Baltimore Division - 24</t>
  </si>
  <si>
    <t>Western Maryland Division - 307</t>
  </si>
  <si>
    <t>MI</t>
  </si>
  <si>
    <t>Michigan Chapter NECA</t>
  </si>
  <si>
    <t>Battle Creek Division -445</t>
  </si>
  <si>
    <t>Bay City Division - 692</t>
  </si>
  <si>
    <t>Flint Division - 948</t>
  </si>
  <si>
    <t>Kalamazoo Division - 131</t>
  </si>
  <si>
    <t>Lansing Division - 665</t>
  </si>
  <si>
    <t>Saginaw Division - 557</t>
  </si>
  <si>
    <t>Southcentral Division - 252</t>
  </si>
  <si>
    <t>Traverse City Division - 498</t>
  </si>
  <si>
    <t>Upper Peninsula Division - 906</t>
  </si>
  <si>
    <t>West Michigan Division - 275</t>
  </si>
  <si>
    <t>Southeastern Michigan Chapter NECA</t>
  </si>
  <si>
    <t>Detroit Division - 58</t>
  </si>
  <si>
    <t>MN</t>
  </si>
  <si>
    <t>Minneapolis Chapter NECA</t>
  </si>
  <si>
    <t>Metro Division - 292</t>
  </si>
  <si>
    <t>South Central Division - 343</t>
  </si>
  <si>
    <t>St Paul Chapter NECA</t>
  </si>
  <si>
    <t>St Paul Division - 110</t>
  </si>
  <si>
    <t>Twin Ports-Arrowhead Chapter NECA</t>
  </si>
  <si>
    <t>Duluth Division - 242</t>
  </si>
  <si>
    <t>Iron Range Division- -294</t>
  </si>
  <si>
    <t>MO</t>
  </si>
  <si>
    <t>Kansas City Chapter NECA</t>
  </si>
  <si>
    <t>Joplin Division - 95</t>
  </si>
  <si>
    <t>Kansas City Division - 124</t>
  </si>
  <si>
    <t>Springfield Division - 453</t>
  </si>
  <si>
    <t>St Joseph Division - 545</t>
  </si>
  <si>
    <t>St Louis Chapter NECA</t>
  </si>
  <si>
    <t>Central Missouri Div - 257,350</t>
  </si>
  <si>
    <t>St Louis Division - 1</t>
  </si>
  <si>
    <t>MS</t>
  </si>
  <si>
    <t>Central Mississippi Chapter NECA</t>
  </si>
  <si>
    <t>Jackson Division - 480</t>
  </si>
  <si>
    <t>Meridian Division - 917</t>
  </si>
  <si>
    <t>MT</t>
  </si>
  <si>
    <t>Montana Chapter NECA</t>
  </si>
  <si>
    <t>Billings Division - 532</t>
  </si>
  <si>
    <t>Butte Division - 233</t>
  </si>
  <si>
    <t>Kalispell Division - 768</t>
  </si>
  <si>
    <t>ND</t>
  </si>
  <si>
    <t>Dakotas Chapter NECA</t>
  </si>
  <si>
    <t>Bismarck-Mandan Division - 714</t>
  </si>
  <si>
    <t>Fargo-Moorhead Division - 1426</t>
  </si>
  <si>
    <t>Rapid City Division - 1250</t>
  </si>
  <si>
    <t>Sioux Falls Division - 426</t>
  </si>
  <si>
    <t>NE</t>
  </si>
  <si>
    <t>Nebraska Chapter NECA</t>
  </si>
  <si>
    <t>Lincoln Division - 265</t>
  </si>
  <si>
    <t>Omaha Division - 22</t>
  </si>
  <si>
    <t>NJ</t>
  </si>
  <si>
    <t>Northern New Jersey Chapter NECA</t>
  </si>
  <si>
    <t>Highland Division - 102</t>
  </si>
  <si>
    <t>Hudson-Bergen-Essex Div - 164</t>
  </si>
  <si>
    <t>Middlesex Division - 456</t>
  </si>
  <si>
    <t>Monmouth(Asbury Park)Div - 400</t>
  </si>
  <si>
    <t>Southern New Jersey Chapter NECA</t>
  </si>
  <si>
    <t>Atlantic Division - 351</t>
  </si>
  <si>
    <t>Mercer County (Trenton) Division - 269</t>
  </si>
  <si>
    <t>NM</t>
  </si>
  <si>
    <t>New Mexico Chapter NECA</t>
  </si>
  <si>
    <t>Albuquerque Division - 611</t>
  </si>
  <si>
    <t>NV</t>
  </si>
  <si>
    <t>Southern Nevada Chapter NECA</t>
  </si>
  <si>
    <t>Las Vegas Division - 357</t>
  </si>
  <si>
    <t>NY</t>
  </si>
  <si>
    <t>Albany Chapter NECA</t>
  </si>
  <si>
    <t>Albany Division - 236</t>
  </si>
  <si>
    <t>Albany Division - 724</t>
  </si>
  <si>
    <t>Finger Lakes New York Chapter NECA</t>
  </si>
  <si>
    <t>Geneva Division - 840</t>
  </si>
  <si>
    <t>Syracuse Division - 43</t>
  </si>
  <si>
    <t>Hudson Valley Chapter NECA</t>
  </si>
  <si>
    <t>Hudson Valley Division - 363</t>
  </si>
  <si>
    <t>Long Island Chapter NECA</t>
  </si>
  <si>
    <t>Long Island Division - 25</t>
  </si>
  <si>
    <t>New York City Chapter NECA</t>
  </si>
  <si>
    <t>New York City Division - 3</t>
  </si>
  <si>
    <t>Northern New York Chapter NECA</t>
  </si>
  <si>
    <t>Northern New York Division - 910</t>
  </si>
  <si>
    <t>Rochester New York Chapter NECA</t>
  </si>
  <si>
    <t>Rochester Division - 86</t>
  </si>
  <si>
    <t>Southern Tier Chapter NECA</t>
  </si>
  <si>
    <t>Binghamton Division - 325</t>
  </si>
  <si>
    <t>Elmira Division - 139</t>
  </si>
  <si>
    <t>Ithaca Division - 241</t>
  </si>
  <si>
    <t>Western New York State Chapter NECA</t>
  </si>
  <si>
    <t>Buffalo Division - 41</t>
  </si>
  <si>
    <t>Jamestown Division - 106</t>
  </si>
  <si>
    <t>Niagara Falls Division - 237</t>
  </si>
  <si>
    <t>OH</t>
  </si>
  <si>
    <t>Central Ohio Chapter NECA</t>
  </si>
  <si>
    <t>Columbus Division -71,683</t>
  </si>
  <si>
    <t>Columbus Division -71, 683</t>
  </si>
  <si>
    <t>Newark Division - 1105</t>
  </si>
  <si>
    <t>Portsmouth Division - 575</t>
  </si>
  <si>
    <t>Cincinnati Chapter NECA</t>
  </si>
  <si>
    <t>Cincinnati Division - 212</t>
  </si>
  <si>
    <t>Hamilton Division - 648</t>
  </si>
  <si>
    <t>Greater Cleveland Chapter NECA</t>
  </si>
  <si>
    <t>Cleveland Division - 38</t>
  </si>
  <si>
    <t>Lake Erie (Lorain) Div - 129</t>
  </si>
  <si>
    <t>Northeast Ohio Division - 673</t>
  </si>
  <si>
    <t>Mahoning Valley Chapter NECA</t>
  </si>
  <si>
    <t>Warren Division - 573</t>
  </si>
  <si>
    <t>Youngstown Division -64</t>
  </si>
  <si>
    <t>North Central Ohio Chapter NECA</t>
  </si>
  <si>
    <t>Akron Division - 306</t>
  </si>
  <si>
    <t>Canton Division-540</t>
  </si>
  <si>
    <t>Steubenville Division - 246</t>
  </si>
  <si>
    <t>Ohio/Michigan Chapter NECA</t>
  </si>
  <si>
    <t>Toledo Division - 8, 245</t>
  </si>
  <si>
    <t>Western Ohio Chapter NECA</t>
  </si>
  <si>
    <t>Dayton Division - 82</t>
  </si>
  <si>
    <t>Lima Division - 32</t>
  </si>
  <si>
    <t>OK</t>
  </si>
  <si>
    <t>Eastern Oklahoma Chapter NECA</t>
  </si>
  <si>
    <t>Tulsa Division - 584</t>
  </si>
  <si>
    <t>Oklahoma Chapter NECA</t>
  </si>
  <si>
    <t>Oklahoma City Division - 1141</t>
  </si>
  <si>
    <t>Ponca City Division - 444</t>
  </si>
  <si>
    <t>OR</t>
  </si>
  <si>
    <t>Oregon-Columbia Chapter NECA</t>
  </si>
  <si>
    <t>Portland Division - 48</t>
  </si>
  <si>
    <t>Oregon-Pacific-Cascade Chapter NECA</t>
  </si>
  <si>
    <t>Cascade Div-Central Oregon-280</t>
  </si>
  <si>
    <t>Crater Lake Div (Medford) -659</t>
  </si>
  <si>
    <t>Sunset Division - 932</t>
  </si>
  <si>
    <t>PA</t>
  </si>
  <si>
    <t>Penn-Del-Jersey Chapter NECA</t>
  </si>
  <si>
    <t>Allentown Div - 375</t>
  </si>
  <si>
    <t>Chester Division - 654</t>
  </si>
  <si>
    <t>Delaware Division - 313</t>
  </si>
  <si>
    <t>Harrisburg Division - 143</t>
  </si>
  <si>
    <t>Line Division - 126</t>
  </si>
  <si>
    <t>Philadelphia Division - 98</t>
  </si>
  <si>
    <t>Reading Division - 743</t>
  </si>
  <si>
    <t>Scranton Division - 81</t>
  </si>
  <si>
    <t>Shamokin Division - 607</t>
  </si>
  <si>
    <t>Wilkes-Barre Division - 163</t>
  </si>
  <si>
    <t>Williamsport Division - 812</t>
  </si>
  <si>
    <t>York Division - 229</t>
  </si>
  <si>
    <t>Western Pennsylvania Chapter NECA</t>
  </si>
  <si>
    <t>Beaver Division - 712</t>
  </si>
  <si>
    <t>Erie Division - 56</t>
  </si>
  <si>
    <t>Pittsburgh Division - 5</t>
  </si>
  <si>
    <t>RI</t>
  </si>
  <si>
    <t>Rhode Island &amp; Southeast Massachusetts Chapter NECA</t>
  </si>
  <si>
    <t>Rhode Island Division - 99</t>
  </si>
  <si>
    <t>SE Massachusetts Division - 223</t>
  </si>
  <si>
    <t>TN</t>
  </si>
  <si>
    <t>East Tennessee Chapter NECA</t>
  </si>
  <si>
    <t>Chattanooga Division - 175</t>
  </si>
  <si>
    <t>Knoxville Division - 760</t>
  </si>
  <si>
    <t>Nashville Division - 429</t>
  </si>
  <si>
    <t>Oak Ridge Division - 270</t>
  </si>
  <si>
    <t>Memphis Chapter NECA</t>
  </si>
  <si>
    <t>Corinth &amp; Tupelo MS Division - 852</t>
  </si>
  <si>
    <t>Martin Division - 1925</t>
  </si>
  <si>
    <t>Memphis Division - 474</t>
  </si>
  <si>
    <t>TX</t>
  </si>
  <si>
    <t>Central Texas Chapter NECA</t>
  </si>
  <si>
    <t>Austin Division - 520</t>
  </si>
  <si>
    <t>Waco Division - 72</t>
  </si>
  <si>
    <t>El Paso Chapter NECA</t>
  </si>
  <si>
    <t>El Paso Division - 583</t>
  </si>
  <si>
    <t>North Texas Chapter NECA</t>
  </si>
  <si>
    <t>Dallas/Ft Worth Division - 20</t>
  </si>
  <si>
    <t>Eastern Division - 301</t>
  </si>
  <si>
    <t>Red River Valley Chapter NECA</t>
  </si>
  <si>
    <t>Abilene Division - 681</t>
  </si>
  <si>
    <t>Southeast Texas Chapter NECA</t>
  </si>
  <si>
    <t>Coastal-Sabine Division - 479</t>
  </si>
  <si>
    <t>Galveston Division - 527</t>
  </si>
  <si>
    <t>Houston Division - 716</t>
  </si>
  <si>
    <t>Rio Grande Valley Division - 1015</t>
  </si>
  <si>
    <t>Texas Gulf Coast Div - 278</t>
  </si>
  <si>
    <t>South Texas Chapter NECA</t>
  </si>
  <si>
    <t>San Antonio Division - 60</t>
  </si>
  <si>
    <t>West Texas Chapter NECA</t>
  </si>
  <si>
    <t>Amarillo Division - 602</t>
  </si>
  <si>
    <t>Lubbock Division - 850</t>
  </si>
  <si>
    <t>UT</t>
  </si>
  <si>
    <t>Intermountain Chapter NECA</t>
  </si>
  <si>
    <t>Utah Division - 354</t>
  </si>
  <si>
    <t>VA</t>
  </si>
  <si>
    <t>Atlantic Coast Chapter NECA</t>
  </si>
  <si>
    <t>Asheville Division - 238</t>
  </si>
  <si>
    <t>Charlotte Division - 379</t>
  </si>
  <si>
    <t>Durham Division - 553</t>
  </si>
  <si>
    <t>Hampton Roads Division - 1340</t>
  </si>
  <si>
    <t>Richmond Division - 666</t>
  </si>
  <si>
    <t>South Carolina Division - 776</t>
  </si>
  <si>
    <t>Tidewater Division - 80</t>
  </si>
  <si>
    <t>Wilmington Division - 495</t>
  </si>
  <si>
    <t>Washington DC Chapter NECA</t>
  </si>
  <si>
    <t>Washington DC Division - 26</t>
  </si>
  <si>
    <t>WA</t>
  </si>
  <si>
    <t>Cascade Chapter NECA</t>
  </si>
  <si>
    <t>Everett Division - 191</t>
  </si>
  <si>
    <t>Inland Empire Chapter NECA</t>
  </si>
  <si>
    <t>Eastern Division - 73</t>
  </si>
  <si>
    <t>Western Division - 112</t>
  </si>
  <si>
    <t>Puget Sound Chapter NECA</t>
  </si>
  <si>
    <t>Seattle Division - 46</t>
  </si>
  <si>
    <t>Southwest Washington Chapter NECA</t>
  </si>
  <si>
    <t>Tacoma Division - 76</t>
  </si>
  <si>
    <t>WI</t>
  </si>
  <si>
    <t>Milwaukee Chapter NECA</t>
  </si>
  <si>
    <t>Milwaukee Division - 494</t>
  </si>
  <si>
    <t>Wisconsin Chapter NECA</t>
  </si>
  <si>
    <t>Fox Valley Division - 577</t>
  </si>
  <si>
    <t>Indianhead (Eau Claire) Div 14</t>
  </si>
  <si>
    <t>Janesville-Beloit Division - 890</t>
  </si>
  <si>
    <t>Kenosha Division - 127</t>
  </si>
  <si>
    <t>Madison Division - 159</t>
  </si>
  <si>
    <t>Northeastern Division - 158</t>
  </si>
  <si>
    <t>Racine Division - 430</t>
  </si>
  <si>
    <t>Wisconsin Valley Div - 388</t>
  </si>
  <si>
    <t>WV</t>
  </si>
  <si>
    <t>West Virginia-Ohio Valley Chapter NECA</t>
  </si>
  <si>
    <t>Charleston Division - 466</t>
  </si>
  <si>
    <t>Clarksburg Division - 596</t>
  </si>
  <si>
    <t>Huntington Division - 317</t>
  </si>
  <si>
    <t>Marietta Division - 972</t>
  </si>
  <si>
    <t>Parkersburg Division - 968</t>
  </si>
  <si>
    <t>Wheeling Division - 141</t>
  </si>
  <si>
    <t>WY</t>
  </si>
  <si>
    <t>Wyoming Chapter NECA</t>
  </si>
  <si>
    <t>Casper Division - 322</t>
  </si>
  <si>
    <t>Cheyenne Division - 415</t>
  </si>
  <si>
    <t>Southeastern Line Constructors Chapter NECA</t>
  </si>
  <si>
    <t>Southeastern Line Constructors</t>
  </si>
  <si>
    <t>Missouri Valley Line Constructors Chapter NECA</t>
  </si>
  <si>
    <t>Southwestern Line Constructors Chapter NECA</t>
  </si>
  <si>
    <t>Southwestern Line Constructors</t>
  </si>
  <si>
    <t>Southwestern Line Constructors Division</t>
  </si>
  <si>
    <t>Northeastern Line Constructors Chapter NECA</t>
  </si>
  <si>
    <t>American Line Builders Chapter NECA</t>
  </si>
  <si>
    <t>Northwest Line Constructors Chapter NECA</t>
  </si>
  <si>
    <t>Western Line Constructors Chapter NECA</t>
  </si>
  <si>
    <t>Chapter</t>
  </si>
  <si>
    <t>IBEW Local</t>
  </si>
  <si>
    <t>Representative</t>
  </si>
  <si>
    <t>Phone</t>
  </si>
  <si>
    <t>E-mail</t>
  </si>
  <si>
    <t>Arizona</t>
  </si>
  <si>
    <t>Jason Karseboom</t>
  </si>
  <si>
    <t>(480) 581-4100</t>
  </si>
  <si>
    <t>jkarseboom@rosendin.com</t>
  </si>
  <si>
    <t>Oregon-Columbia</t>
  </si>
  <si>
    <t>Robert John</t>
  </si>
  <si>
    <t>(503) 615-8189</t>
  </si>
  <si>
    <t>rjohn@rosendin.com</t>
  </si>
  <si>
    <t>Southern Nevada</t>
  </si>
  <si>
    <t>Chris Meiers</t>
  </si>
  <si>
    <t>(702) 258-1400</t>
  </si>
  <si>
    <t>cmeiers@rosendin.com</t>
  </si>
  <si>
    <t>Inland Empire</t>
  </si>
  <si>
    <t>Tom Sorley</t>
  </si>
  <si>
    <t>tsorley@rosendin.com</t>
  </si>
  <si>
    <t>Greater Sacramento</t>
  </si>
  <si>
    <t>Tamara Rapozo</t>
  </si>
  <si>
    <t>(916) 285-0421</t>
  </si>
  <si>
    <t>trapozo@rosendin.com</t>
  </si>
  <si>
    <t>Oregon-Pacific-Cascade</t>
  </si>
  <si>
    <t>Timothy Schierling</t>
  </si>
  <si>
    <t>tschierling@rosendin.com</t>
  </si>
  <si>
    <t>Washington DC</t>
  </si>
  <si>
    <t>Keith Douglas</t>
  </si>
  <si>
    <t>(703) 707-8200</t>
  </si>
  <si>
    <t>kdouglas@rosendin.com</t>
  </si>
  <si>
    <t>South Texas</t>
  </si>
  <si>
    <t>Justin Prince</t>
  </si>
  <si>
    <t>(512) 272-8841</t>
  </si>
  <si>
    <t>jprince@rosendin.com</t>
  </si>
  <si>
    <t>Southeast Texas</t>
  </si>
  <si>
    <t>Shaun Mahan</t>
  </si>
  <si>
    <t>smahan@rosendin.com</t>
  </si>
  <si>
    <t>Maryland</t>
  </si>
  <si>
    <t>Jeff Marshal</t>
  </si>
  <si>
    <t>(410) 787-8374</t>
  </si>
  <si>
    <t>jmarshall@rosendin.com</t>
  </si>
  <si>
    <t>San Diego</t>
  </si>
  <si>
    <t>Jerry Jordan</t>
  </si>
  <si>
    <t>(714) 521-8113</t>
  </si>
  <si>
    <t>jjordan@rosendin.com</t>
  </si>
  <si>
    <t>North Texas</t>
  </si>
  <si>
    <t>Atlantic Coast</t>
  </si>
  <si>
    <t>Brandon Jachimski</t>
  </si>
  <si>
    <t>(443) 417-5267</t>
  </si>
  <si>
    <t>bjachimski@rosendin.com</t>
  </si>
  <si>
    <t>Orange County</t>
  </si>
  <si>
    <t>Cliff Thompson</t>
  </si>
  <si>
    <t>cthompson@rosendin.com</t>
  </si>
  <si>
    <t>Central Texas</t>
  </si>
  <si>
    <t>Northern California</t>
  </si>
  <si>
    <t> 595</t>
  </si>
  <si>
    <t>Aaron W Olson</t>
  </si>
  <si>
    <t>(408) 286-2800</t>
  </si>
  <si>
    <t>aolson@rosendin.com</t>
  </si>
  <si>
    <t>Hawaii</t>
  </si>
  <si>
    <t>Ryan Chun</t>
  </si>
  <si>
    <t>(808) 200-5967</t>
  </si>
  <si>
    <t>rchun@rosendin.com</t>
  </si>
  <si>
    <t>Northwest Line Constructors</t>
  </si>
  <si>
    <t>Multiple</t>
  </si>
  <si>
    <t>Tennessee</t>
  </si>
  <si>
    <t>Tullie Louder</t>
  </si>
  <si>
    <t>(615) 461-2300</t>
  </si>
  <si>
    <t>tlouder@rosendin.com</t>
  </si>
  <si>
    <t>Santa Clara</t>
  </si>
  <si>
    <t>Jim Millett</t>
  </si>
  <si>
    <t>jmillett@rosendin.com</t>
  </si>
  <si>
    <t>Los Angeles</t>
  </si>
  <si>
    <t>Dan Domenici</t>
  </si>
  <si>
    <t>(657) 276-0600</t>
  </si>
  <si>
    <t>ddomenici@rosendin.com</t>
  </si>
  <si>
    <t>San Francisco</t>
  </si>
  <si>
    <t>Tom McIntosh</t>
  </si>
  <si>
    <t>(415) 495-9300</t>
  </si>
  <si>
    <t>tmcintosh@rosendin.com</t>
  </si>
  <si>
    <t>Idaho</t>
  </si>
  <si>
    <t>(541) 233-7769</t>
  </si>
  <si>
    <t>Ryan Gill</t>
  </si>
  <si>
    <t>(775) 332-5800</t>
  </si>
  <si>
    <t>rgill@rosendin.com</t>
  </si>
  <si>
    <t>2026 NECA National Committees &amp; Task Forces</t>
  </si>
  <si>
    <t>Future Leaders Task Force</t>
  </si>
  <si>
    <t xml:space="preserve"> District 9</t>
  </si>
  <si>
    <t>District 5</t>
  </si>
  <si>
    <t>District 9</t>
  </si>
  <si>
    <t xml:space="preserve">Ron Clarkson </t>
  </si>
  <si>
    <t>Rosendin Electric</t>
  </si>
  <si>
    <t>Andrew Harrington</t>
  </si>
  <si>
    <t xml:space="preserve">Steven Emert </t>
  </si>
  <si>
    <t>Clint Summers</t>
  </si>
  <si>
    <t>Summer Reese</t>
  </si>
  <si>
    <t xml:space="preserve">Brice Merritt </t>
  </si>
  <si>
    <t>Noelle Sebastian</t>
  </si>
  <si>
    <t xml:space="preserve">Women in NECA </t>
  </si>
  <si>
    <t xml:space="preserve">Technology Systems Integration Task Force </t>
  </si>
  <si>
    <t xml:space="preserve">Codes and Standards Committee </t>
  </si>
  <si>
    <t>Future Leaders Task Force,Women in NECA</t>
  </si>
  <si>
    <t>NECA Division</t>
  </si>
  <si>
    <t>NECA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</si>
</sst>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4"/>
      <color rgb="FF555555"/>
      <name val="Arial"/>
      <family val="2"/>
    </font>
    <font>
      <b/>
      <sz val="14"/>
      <color rgb="FF555555"/>
      <name val="Arial"/>
      <family val="2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E9E8E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  <border>
      <left style="thin">
        <color rgb="FF8E9297"/>
      </left>
      <right style="thin">
        <color rgb="FFD5D3D1"/>
      </right>
      <top style="thin">
        <color rgb="FF8E9297"/>
      </top>
      <bottom/>
      <diagonal/>
    </border>
    <border>
      <left style="thin">
        <color rgb="FFD5D3D1"/>
      </left>
      <right style="thin">
        <color rgb="FFD5D3D1"/>
      </right>
      <top style="thin">
        <color rgb="FF8E9297"/>
      </top>
      <bottom/>
      <diagonal/>
    </border>
    <border>
      <left style="thin">
        <color rgb="FFD5D3D1"/>
      </left>
      <right style="thin">
        <color rgb="FF8E9297"/>
      </right>
      <top style="thin">
        <color rgb="FF8E9297"/>
      </top>
      <bottom/>
      <diagonal/>
    </border>
    <border>
      <left style="thin">
        <color rgb="FFD5D3D1"/>
      </left>
      <right style="thin">
        <color rgb="FF8E9297"/>
      </right>
      <top style="thin">
        <color rgb="FFD5D3D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0" borderId="0"/>
  </cellStyleXfs>
  <cellXfs count="39">
    <xf numFmtId="0" fontId="0" fillId="0" borderId="0" xfId="0"/>
    <xf numFmtId="0" fontId="0" fillId="0" borderId="0" xfId="0" applyFill="1"/>
    <xf numFmtId="0" fontId="2" fillId="0" borderId="0" xfId="0" applyFont="1" applyFill="1"/>
    <xf numFmtId="0" fontId="4" fillId="0" borderId="0" xfId="0" applyFont="1" applyFill="1"/>
    <xf numFmtId="0" fontId="5" fillId="0" borderId="0" xfId="3"/>
    <xf numFmtId="0" fontId="6" fillId="3" borderId="2" xfId="3" applyFont="1" applyFill="1" applyBorder="1"/>
    <xf numFmtId="0" fontId="7" fillId="2" borderId="3" xfId="3" applyFont="1" applyFill="1" applyBorder="1" applyAlignment="1">
      <alignment horizontal="left"/>
    </xf>
    <xf numFmtId="0" fontId="5" fillId="2" borderId="4" xfId="3" applyFill="1" applyBorder="1"/>
    <xf numFmtId="0" fontId="7" fillId="2" borderId="4" xfId="3" applyFont="1" applyFill="1" applyBorder="1" applyAlignment="1">
      <alignment horizontal="left"/>
    </xf>
    <xf numFmtId="0" fontId="7" fillId="2" borderId="0" xfId="3" applyFont="1" applyFill="1" applyAlignment="1">
      <alignment horizontal="left"/>
    </xf>
    <xf numFmtId="0" fontId="5" fillId="2" borderId="7" xfId="3" applyFill="1" applyBorder="1"/>
    <xf numFmtId="0" fontId="7" fillId="2" borderId="8" xfId="3" applyFont="1" applyFill="1" applyBorder="1" applyAlignment="1">
      <alignment horizontal="left"/>
    </xf>
    <xf numFmtId="0" fontId="7" fillId="2" borderId="9" xfId="3" applyFont="1" applyFill="1" applyBorder="1" applyAlignment="1">
      <alignment horizontal="left"/>
    </xf>
    <xf numFmtId="0" fontId="7" fillId="2" borderId="10" xfId="3" applyFont="1" applyFill="1" applyBorder="1" applyAlignment="1">
      <alignment horizontal="left"/>
    </xf>
    <xf numFmtId="0" fontId="7" fillId="2" borderId="1" xfId="3" applyFont="1" applyFill="1" applyBorder="1" applyAlignment="1">
      <alignment horizontal="left"/>
    </xf>
    <xf numFmtId="0" fontId="5" fillId="0" borderId="5" xfId="3" applyBorder="1"/>
    <xf numFmtId="0" fontId="7" fillId="2" borderId="6" xfId="3" applyFont="1" applyFill="1" applyBorder="1" applyAlignment="1">
      <alignment horizontal="left"/>
    </xf>
    <xf numFmtId="0" fontId="0" fillId="0" borderId="0" xfId="0"/>
    <xf numFmtId="0" fontId="0" fillId="4" borderId="12" xfId="0" applyFill="1" applyBorder="1"/>
    <xf numFmtId="0" fontId="0" fillId="4" borderId="13" xfId="0" applyFill="1" applyBorder="1"/>
    <xf numFmtId="0" fontId="8" fillId="0" borderId="11" xfId="0" applyFont="1" applyBorder="1"/>
    <xf numFmtId="0" fontId="0" fillId="4" borderId="12" xfId="0" applyFill="1" applyBorder="1" applyAlignment="1">
      <alignment horizontal="left"/>
    </xf>
    <xf numFmtId="0" fontId="9" fillId="0" borderId="11" xfId="0" applyFont="1" applyBorder="1"/>
    <xf numFmtId="0" fontId="8" fillId="0" borderId="11" xfId="0" applyFont="1" applyBorder="1" applyAlignment="1">
      <alignment horizontal="left"/>
    </xf>
    <xf numFmtId="0" fontId="10" fillId="0" borderId="0" xfId="0" applyFont="1"/>
    <xf numFmtId="0" fontId="7" fillId="2" borderId="0" xfId="3" applyFont="1" applyFill="1" applyBorder="1" applyAlignment="1">
      <alignment horizontal="left"/>
    </xf>
    <xf numFmtId="0" fontId="5" fillId="0" borderId="0" xfId="3" applyBorder="1"/>
    <xf numFmtId="1" fontId="3" fillId="0" borderId="11" xfId="0" applyNumberFormat="1" applyFont="1" applyFill="1" applyBorder="1" applyAlignment="1">
      <alignment horizontal="left"/>
    </xf>
    <xf numFmtId="0" fontId="3" fillId="0" borderId="11" xfId="0" applyFont="1" applyFill="1" applyBorder="1"/>
    <xf numFmtId="0" fontId="4" fillId="5" borderId="11" xfId="0" applyFont="1" applyFill="1" applyBorder="1"/>
    <xf numFmtId="0" fontId="4" fillId="0" borderId="11" xfId="0" applyFont="1" applyFill="1" applyBorder="1"/>
    <xf numFmtId="1" fontId="0" fillId="0" borderId="11" xfId="0" applyNumberFormat="1" applyFill="1" applyBorder="1" applyAlignment="1">
      <alignment horizontal="left"/>
    </xf>
    <xf numFmtId="0" fontId="0" fillId="0" borderId="11" xfId="0" applyFill="1" applyBorder="1"/>
    <xf numFmtId="0" fontId="0" fillId="5" borderId="11" xfId="0" applyFill="1" applyBorder="1"/>
    <xf numFmtId="0" fontId="0" fillId="0" borderId="11" xfId="0" applyNumberFormat="1" applyFill="1" applyBorder="1" applyAlignment="1">
      <alignment horizontal="left"/>
    </xf>
    <xf numFmtId="1" fontId="0" fillId="0" borderId="11" xfId="0" applyNumberFormat="1" applyBorder="1" applyAlignment="1">
      <alignment horizontal="left"/>
    </xf>
    <xf numFmtId="0" fontId="0" fillId="0" borderId="11" xfId="0" applyBorder="1"/>
    <xf numFmtId="0" fontId="2" fillId="0" borderId="11" xfId="0" applyNumberFormat="1" applyFont="1" applyFill="1" applyBorder="1" applyAlignment="1">
      <alignment horizontal="left"/>
    </xf>
    <xf numFmtId="0" fontId="2" fillId="0" borderId="11" xfId="0" applyFont="1" applyFill="1" applyBorder="1"/>
  </cellXfs>
  <cellStyles count="4">
    <cellStyle name="Normal" xfId="0" builtinId="0"/>
    <cellStyle name="Normal 2" xfId="3" xr:uid="{F830F0FA-882D-4698-8337-0A71C0654FBD}"/>
    <cellStyle name="Normal 4 2 2" xfId="1" xr:uid="{C0C74133-1EA4-46A0-9360-C99D8178AAE2}"/>
    <cellStyle name="Normal 7" xfId="2" xr:uid="{BDCBD55E-A17A-4AFD-B491-0FE3941794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rjohn@rosendin.com" TargetMode="External"/><Relationship Id="rId1" Type="http://schemas.openxmlformats.org/officeDocument/2006/relationships/hyperlink" Target="mailto:jjordan@rosend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3082-CBA4-4EAC-A064-0D551FF1F594}">
  <dimension ref="A1:H73"/>
  <sheetViews>
    <sheetView tabSelected="1" zoomScaleNormal="100" workbookViewId="0">
      <pane ySplit="1" topLeftCell="A2" activePane="bottomLeft" state="frozen"/>
      <selection pane="bottomLeft" activeCell="G22" sqref="G22"/>
    </sheetView>
  </sheetViews>
  <sheetFormatPr defaultColWidth="8.85546875" defaultRowHeight="15" x14ac:dyDescent="0.25"/>
  <cols>
    <col min="1" max="1" width="13.7109375" style="31" customWidth="1"/>
    <col min="2" max="2" width="77.42578125" style="32" bestFit="1" customWidth="1"/>
    <col min="3" max="3" width="41.5703125" style="33" customWidth="1"/>
    <col min="4" max="4" width="38.28515625" style="33" customWidth="1"/>
    <col min="5" max="5" width="19.42578125" style="33" customWidth="1"/>
    <col min="6" max="6" width="26" style="32" customWidth="1"/>
    <col min="7" max="7" width="16.5703125" style="32" customWidth="1"/>
    <col min="8" max="8" width="19.5703125" style="32" customWidth="1"/>
    <col min="9" max="16384" width="8.85546875" style="1"/>
  </cols>
  <sheetData>
    <row r="1" spans="1:8" s="3" customFormat="1" ht="24" customHeight="1" x14ac:dyDescent="0.3">
      <c r="A1" s="27" t="s">
        <v>77</v>
      </c>
      <c r="B1" s="28" t="s">
        <v>8</v>
      </c>
      <c r="C1" s="29" t="s">
        <v>90</v>
      </c>
      <c r="D1" s="29" t="s">
        <v>624</v>
      </c>
      <c r="E1" s="29" t="s">
        <v>625</v>
      </c>
      <c r="F1" s="30" t="s">
        <v>91</v>
      </c>
      <c r="G1" s="30" t="s">
        <v>92</v>
      </c>
      <c r="H1" s="30" t="s">
        <v>93</v>
      </c>
    </row>
    <row r="2" spans="1:8" x14ac:dyDescent="0.25">
      <c r="A2" s="31">
        <v>3</v>
      </c>
      <c r="B2" s="32" t="s">
        <v>9</v>
      </c>
      <c r="C2" s="33" t="str">
        <f>VLOOKUP(A2,'NECA Chapters(Debra)'!A:D,3,FALSE)</f>
        <v>New York City Chapter NECA</v>
      </c>
      <c r="D2" s="33" t="str">
        <f>VLOOKUP(A2,'NECA Chapters(Debra)'!A:D,4,FALSE)</f>
        <v>New York City Division - 3</v>
      </c>
      <c r="E2" s="33" t="str">
        <f>VLOOKUP(A2,'NECA Chapters(Debra)'!A:D,2,FALSE)</f>
        <v>NY</v>
      </c>
    </row>
    <row r="3" spans="1:8" x14ac:dyDescent="0.25">
      <c r="A3" s="31">
        <v>6</v>
      </c>
      <c r="B3" s="32" t="s">
        <v>10</v>
      </c>
      <c r="C3" s="33" t="str">
        <f>VLOOKUP(A3,'NECA Chapters(Debra)'!A:D,3,FALSE)</f>
        <v>San Francisco Chapter NECA</v>
      </c>
      <c r="D3" s="33" t="str">
        <f>VLOOKUP(A3,'NECA Chapters(Debra)'!A:D,4,FALSE)</f>
        <v>San Francisco Division - 6</v>
      </c>
      <c r="E3" s="33" t="str">
        <f>VLOOKUP(A3,'NECA Chapters(Debra)'!A:D,2,FALSE)</f>
        <v>CA</v>
      </c>
    </row>
    <row r="4" spans="1:8" x14ac:dyDescent="0.25">
      <c r="A4" s="31">
        <v>11</v>
      </c>
      <c r="B4" s="32" t="s">
        <v>11</v>
      </c>
      <c r="C4" s="33" t="str">
        <f>VLOOKUP(A4,'NECA Chapters(Debra)'!A:D,3,FALSE)</f>
        <v>Los Angeles County Chapter NECA</v>
      </c>
      <c r="D4" s="33" t="str">
        <f>VLOOKUP(A4,'NECA Chapters(Debra)'!A:D,4,FALSE)</f>
        <v>Los Angeles Division - 11</v>
      </c>
      <c r="E4" s="33" t="str">
        <f>VLOOKUP(A4,'NECA Chapters(Debra)'!A:D,2,FALSE)</f>
        <v>CA</v>
      </c>
    </row>
    <row r="5" spans="1:8" x14ac:dyDescent="0.25">
      <c r="A5" s="31" t="s">
        <v>58</v>
      </c>
      <c r="B5" s="32" t="s">
        <v>73</v>
      </c>
      <c r="C5" s="33" t="e">
        <f>VLOOKUP(A5,'NECA Chapters(Debra)'!A:D,3,FALSE)</f>
        <v>#N/A</v>
      </c>
      <c r="D5" s="33" t="e">
        <f>VLOOKUP(A5,'NECA Chapters(Debra)'!A:D,4,FALSE)</f>
        <v>#N/A</v>
      </c>
      <c r="E5" s="33" t="e">
        <f>VLOOKUP(A5,'NECA Chapters(Debra)'!A:D,2,FALSE)</f>
        <v>#N/A</v>
      </c>
    </row>
    <row r="6" spans="1:8" x14ac:dyDescent="0.25">
      <c r="A6" s="31" t="s">
        <v>0</v>
      </c>
      <c r="B6" s="32" t="s">
        <v>12</v>
      </c>
      <c r="C6" s="33" t="e">
        <f>VLOOKUP(A6,'NECA Chapters(Debra)'!A:D,3,FALSE)</f>
        <v>#N/A</v>
      </c>
      <c r="D6" s="33" t="e">
        <f>VLOOKUP(A6,'NECA Chapters(Debra)'!A:D,4,FALSE)</f>
        <v>#N/A</v>
      </c>
      <c r="E6" s="33" t="e">
        <f>VLOOKUP(A6,'NECA Chapters(Debra)'!A:D,2,FALSE)</f>
        <v>#N/A</v>
      </c>
    </row>
    <row r="7" spans="1:8" x14ac:dyDescent="0.25">
      <c r="A7" s="31">
        <v>20</v>
      </c>
      <c r="B7" s="32" t="s">
        <v>54</v>
      </c>
      <c r="C7" s="33" t="str">
        <f>VLOOKUP(A7,'NECA Chapters(Debra)'!A:D,3,FALSE)</f>
        <v>North Texas Chapter NECA</v>
      </c>
      <c r="D7" s="33" t="str">
        <f>VLOOKUP(A7,'NECA Chapters(Debra)'!A:D,4,FALSE)</f>
        <v>Dallas/Ft Worth Division - 20</v>
      </c>
      <c r="E7" s="33" t="str">
        <f>VLOOKUP(A7,'NECA Chapters(Debra)'!A:D,2,FALSE)</f>
        <v>TX</v>
      </c>
    </row>
    <row r="8" spans="1:8" x14ac:dyDescent="0.25">
      <c r="A8" s="31">
        <v>24</v>
      </c>
      <c r="B8" s="32" t="s">
        <v>13</v>
      </c>
      <c r="C8" s="33" t="str">
        <f>VLOOKUP(A8,'NECA Chapters(Debra)'!A:D,3,FALSE)</f>
        <v>Maryland Chapter NECA</v>
      </c>
      <c r="D8" s="33" t="str">
        <f>VLOOKUP(A8,'NECA Chapters(Debra)'!A:D,4,FALSE)</f>
        <v>Baltimore Division - 24</v>
      </c>
      <c r="E8" s="33" t="str">
        <f>VLOOKUP(A8,'NECA Chapters(Debra)'!A:D,2,FALSE)</f>
        <v>MD</v>
      </c>
    </row>
    <row r="9" spans="1:8" x14ac:dyDescent="0.25">
      <c r="A9" s="31">
        <v>26</v>
      </c>
      <c r="B9" s="32" t="s">
        <v>14</v>
      </c>
      <c r="C9" s="33" t="str">
        <f>VLOOKUP(A9,'NECA Chapters(Debra)'!A:D,3,FALSE)</f>
        <v>Washington DC Chapter NECA</v>
      </c>
      <c r="D9" s="33" t="str">
        <f>VLOOKUP(A9,'NECA Chapters(Debra)'!A:D,4,FALSE)</f>
        <v>Washington DC Division - 26</v>
      </c>
      <c r="E9" s="33" t="str">
        <f>VLOOKUP(A9,'NECA Chapters(Debra)'!A:D,2,FALSE)</f>
        <v>VA</v>
      </c>
    </row>
    <row r="10" spans="1:8" x14ac:dyDescent="0.25">
      <c r="A10" s="31" t="s">
        <v>1</v>
      </c>
      <c r="B10" s="32" t="s">
        <v>15</v>
      </c>
      <c r="C10" s="33" t="e">
        <f>VLOOKUP(A10,'NECA Chapters(Debra)'!A:D,3,FALSE)</f>
        <v>#N/A</v>
      </c>
      <c r="D10" s="33" t="e">
        <f>VLOOKUP(A10,'NECA Chapters(Debra)'!A:D,4,FALSE)</f>
        <v>#N/A</v>
      </c>
      <c r="E10" s="33" t="e">
        <f>VLOOKUP(A10,'NECA Chapters(Debra)'!A:D,2,FALSE)</f>
        <v>#N/A</v>
      </c>
    </row>
    <row r="11" spans="1:8" x14ac:dyDescent="0.25">
      <c r="A11" s="34">
        <v>48</v>
      </c>
      <c r="B11" s="32" t="s">
        <v>16</v>
      </c>
      <c r="C11" s="33" t="str">
        <f>VLOOKUP(A11,'NECA Chapters(Debra)'!A:D,3,FALSE)</f>
        <v>Oregon-Columbia Chapter NECA</v>
      </c>
      <c r="D11" s="33" t="str">
        <f>VLOOKUP(A11,'NECA Chapters(Debra)'!A:D,4,FALSE)</f>
        <v>Portland Division - 48</v>
      </c>
      <c r="E11" s="33" t="str">
        <f>VLOOKUP(A11,'NECA Chapters(Debra)'!A:D,2,FALSE)</f>
        <v>OR</v>
      </c>
    </row>
    <row r="12" spans="1:8" x14ac:dyDescent="0.25">
      <c r="A12" s="31" t="s">
        <v>86</v>
      </c>
      <c r="B12" s="32" t="s">
        <v>88</v>
      </c>
      <c r="C12" s="33" t="e">
        <f>VLOOKUP(A12,'NECA Chapters(Debra)'!A:D,3,FALSE)</f>
        <v>#N/A</v>
      </c>
      <c r="D12" s="33" t="e">
        <f>VLOOKUP(A12,'NECA Chapters(Debra)'!A:D,4,FALSE)</f>
        <v>#N/A</v>
      </c>
      <c r="E12" s="33" t="e">
        <f>VLOOKUP(A12,'NECA Chapters(Debra)'!A:D,2,FALSE)</f>
        <v>#N/A</v>
      </c>
    </row>
    <row r="13" spans="1:8" x14ac:dyDescent="0.25">
      <c r="A13" s="34">
        <v>60</v>
      </c>
      <c r="B13" s="32" t="s">
        <v>17</v>
      </c>
      <c r="C13" s="33" t="str">
        <f>VLOOKUP(A13,'NECA Chapters(Debra)'!A:D,3,FALSE)</f>
        <v>South Texas Chapter NECA</v>
      </c>
      <c r="D13" s="33" t="str">
        <f>VLOOKUP(A13,'NECA Chapters(Debra)'!A:D,4,FALSE)</f>
        <v>San Antonio Division - 60</v>
      </c>
      <c r="E13" s="33" t="str">
        <f>VLOOKUP(A13,'NECA Chapters(Debra)'!A:D,2,FALSE)</f>
        <v>TX</v>
      </c>
    </row>
    <row r="14" spans="1:8" x14ac:dyDescent="0.25">
      <c r="A14" s="31" t="s">
        <v>60</v>
      </c>
      <c r="B14" s="32" t="s">
        <v>61</v>
      </c>
      <c r="C14" s="33" t="e">
        <f>VLOOKUP(A14,'NECA Chapters(Debra)'!A:D,3,FALSE)</f>
        <v>#N/A</v>
      </c>
      <c r="D14" s="33" t="e">
        <f>VLOOKUP(A14,'NECA Chapters(Debra)'!A:D,4,FALSE)</f>
        <v>#N/A</v>
      </c>
      <c r="E14" s="33" t="e">
        <f>VLOOKUP(A14,'NECA Chapters(Debra)'!A:D,2,FALSE)</f>
        <v>#N/A</v>
      </c>
    </row>
    <row r="15" spans="1:8" x14ac:dyDescent="0.25">
      <c r="A15" s="31" t="s">
        <v>2</v>
      </c>
      <c r="B15" s="32" t="s">
        <v>18</v>
      </c>
      <c r="C15" s="33" t="e">
        <f>VLOOKUP(A15,'NECA Chapters(Debra)'!A:D,3,FALSE)</f>
        <v>#N/A</v>
      </c>
      <c r="D15" s="33" t="e">
        <f>VLOOKUP(A15,'NECA Chapters(Debra)'!A:D,4,FALSE)</f>
        <v>#N/A</v>
      </c>
      <c r="E15" s="33" t="e">
        <f>VLOOKUP(A15,'NECA Chapters(Debra)'!A:D,2,FALSE)</f>
        <v>#N/A</v>
      </c>
    </row>
    <row r="16" spans="1:8" x14ac:dyDescent="0.25">
      <c r="A16" s="34">
        <v>72</v>
      </c>
      <c r="B16" s="32" t="s">
        <v>19</v>
      </c>
      <c r="C16" s="33" t="str">
        <f>VLOOKUP(A16,'NECA Chapters(Debra)'!A:D,3,FALSE)</f>
        <v>Central Texas Chapter NECA</v>
      </c>
      <c r="D16" s="33" t="str">
        <f>VLOOKUP(A16,'NECA Chapters(Debra)'!A:D,4,FALSE)</f>
        <v>Waco Division - 72</v>
      </c>
      <c r="E16" s="33" t="str">
        <f>VLOOKUP(A16,'NECA Chapters(Debra)'!A:D,2,FALSE)</f>
        <v>TX</v>
      </c>
    </row>
    <row r="17" spans="1:8" x14ac:dyDescent="0.25">
      <c r="A17" s="31">
        <v>76</v>
      </c>
      <c r="B17" s="32" t="s">
        <v>20</v>
      </c>
      <c r="C17" s="33" t="str">
        <f>VLOOKUP(A17,'NECA Chapters(Debra)'!A:D,3,FALSE)</f>
        <v>Southwest Washington Chapter NECA</v>
      </c>
      <c r="D17" s="33" t="str">
        <f>VLOOKUP(A17,'NECA Chapters(Debra)'!A:D,4,FALSE)</f>
        <v>Tacoma Division - 76</v>
      </c>
      <c r="E17" s="33" t="str">
        <f>VLOOKUP(A17,'NECA Chapters(Debra)'!A:D,2,FALSE)</f>
        <v>WA</v>
      </c>
    </row>
    <row r="18" spans="1:8" x14ac:dyDescent="0.25">
      <c r="A18" s="31">
        <v>80</v>
      </c>
      <c r="B18" s="32" t="s">
        <v>21</v>
      </c>
      <c r="C18" s="33" t="str">
        <f>VLOOKUP(A18,'NECA Chapters(Debra)'!A:D,3,FALSE)</f>
        <v>Atlantic Coast Chapter NECA</v>
      </c>
      <c r="D18" s="33" t="str">
        <f>VLOOKUP(A18,'NECA Chapters(Debra)'!A:D,4,FALSE)</f>
        <v>Tidewater Division - 80</v>
      </c>
      <c r="E18" s="33" t="str">
        <f>VLOOKUP(A18,'NECA Chapters(Debra)'!A:D,2,FALSE)</f>
        <v>VA</v>
      </c>
    </row>
    <row r="19" spans="1:8" x14ac:dyDescent="0.25">
      <c r="A19" s="31">
        <v>89</v>
      </c>
      <c r="B19" s="32" t="s">
        <v>87</v>
      </c>
      <c r="C19" s="33" t="str">
        <f>VLOOKUP(A19,'NECA Chapters(Debra)'!A:D,3,FALSE)</f>
        <v>Northwest Line Constructors Chapter NECA</v>
      </c>
      <c r="D19" s="33">
        <f>VLOOKUP(A19,'NECA Chapters(Debra)'!A:D,4,FALSE)</f>
        <v>0</v>
      </c>
      <c r="E19" s="33" t="str">
        <f>VLOOKUP(A19,'NECA Chapters(Debra)'!A:D,2,FALSE)</f>
        <v>WA</v>
      </c>
    </row>
    <row r="20" spans="1:8" x14ac:dyDescent="0.25">
      <c r="A20" s="31">
        <v>100</v>
      </c>
      <c r="B20" s="32" t="s">
        <v>22</v>
      </c>
      <c r="C20" s="33" t="str">
        <f>VLOOKUP(A20,'NECA Chapters(Debra)'!A:D,3,FALSE)</f>
        <v>East Central California Chapter NECA</v>
      </c>
      <c r="D20" s="33" t="str">
        <f>VLOOKUP(A20,'NECA Chapters(Debra)'!A:D,4,FALSE)</f>
        <v>Fresno Division - 100</v>
      </c>
      <c r="E20" s="33" t="str">
        <f>VLOOKUP(A20,'NECA Chapters(Debra)'!A:D,2,FALSE)</f>
        <v>CA</v>
      </c>
    </row>
    <row r="21" spans="1:8" x14ac:dyDescent="0.25">
      <c r="A21" s="31">
        <v>112</v>
      </c>
      <c r="B21" s="32" t="s">
        <v>23</v>
      </c>
      <c r="C21" s="33" t="str">
        <f>VLOOKUP(A21,'NECA Chapters(Debra)'!A:D,3,FALSE)</f>
        <v>Inland Empire Chapter NECA</v>
      </c>
      <c r="D21" s="33" t="str">
        <f>VLOOKUP(A21,'NECA Chapters(Debra)'!A:D,4,FALSE)</f>
        <v>Western Division - 112</v>
      </c>
      <c r="E21" s="33" t="str">
        <f>VLOOKUP(A21,'NECA Chapters(Debra)'!A:D,2,FALSE)</f>
        <v>WA</v>
      </c>
    </row>
    <row r="22" spans="1:8" x14ac:dyDescent="0.25">
      <c r="A22" s="31">
        <v>143</v>
      </c>
      <c r="B22" s="32" t="s">
        <v>24</v>
      </c>
      <c r="C22" s="33" t="str">
        <f>VLOOKUP(A22,'NECA Chapters(Debra)'!A:D,3,FALSE)</f>
        <v>Penn-Del-Jersey Chapter NECA</v>
      </c>
      <c r="D22" s="33" t="str">
        <f>VLOOKUP(A22,'NECA Chapters(Debra)'!A:D,4,FALSE)</f>
        <v>Harrisburg Division - 143</v>
      </c>
      <c r="E22" s="33" t="str">
        <f>VLOOKUP(A22,'NECA Chapters(Debra)'!A:D,2,FALSE)</f>
        <v>PA</v>
      </c>
    </row>
    <row r="23" spans="1:8" x14ac:dyDescent="0.25">
      <c r="A23" s="31">
        <v>180</v>
      </c>
      <c r="B23" s="32" t="s">
        <v>25</v>
      </c>
      <c r="C23" s="33" t="str">
        <f>VLOOKUP(A23,'NECA Chapters(Debra)'!A:D,3,FALSE)</f>
        <v>Northern California Chapter NECA</v>
      </c>
      <c r="D23" s="33" t="str">
        <f>VLOOKUP(A23,'NECA Chapters(Debra)'!A:D,4,FALSE)</f>
        <v>Solano Napa Counties Div - 180</v>
      </c>
      <c r="E23" s="33" t="str">
        <f>VLOOKUP(A23,'NECA Chapters(Debra)'!A:D,2,FALSE)</f>
        <v>CA</v>
      </c>
    </row>
    <row r="24" spans="1:8" x14ac:dyDescent="0.25">
      <c r="A24" s="31" t="s">
        <v>3</v>
      </c>
      <c r="B24" s="32" t="s">
        <v>26</v>
      </c>
      <c r="C24" s="33" t="e">
        <f>VLOOKUP(A24,'NECA Chapters(Debra)'!A:D,3,FALSE)</f>
        <v>#N/A</v>
      </c>
      <c r="D24" s="33" t="e">
        <f>VLOOKUP(A24,'NECA Chapters(Debra)'!A:D,4,FALSE)</f>
        <v>#N/A</v>
      </c>
      <c r="E24" s="33" t="e">
        <f>VLOOKUP(A24,'NECA Chapters(Debra)'!A:D,2,FALSE)</f>
        <v>#N/A</v>
      </c>
    </row>
    <row r="25" spans="1:8" x14ac:dyDescent="0.25">
      <c r="A25" s="31" t="s">
        <v>84</v>
      </c>
      <c r="B25" s="32" t="s">
        <v>89</v>
      </c>
      <c r="C25" s="33" t="e">
        <f>VLOOKUP(A25,'NECA Chapters(Debra)'!A:D,3,FALSE)</f>
        <v>#N/A</v>
      </c>
      <c r="D25" s="33" t="e">
        <f>VLOOKUP(A25,'NECA Chapters(Debra)'!A:D,4,FALSE)</f>
        <v>#N/A</v>
      </c>
      <c r="E25" s="33" t="e">
        <f>VLOOKUP(A25,'NECA Chapters(Debra)'!A:D,2,FALSE)</f>
        <v>#N/A</v>
      </c>
    </row>
    <row r="26" spans="1:8" x14ac:dyDescent="0.25">
      <c r="A26" s="31">
        <v>209</v>
      </c>
      <c r="B26" s="32" t="s">
        <v>27</v>
      </c>
      <c r="C26" s="33" t="e">
        <f>VLOOKUP(A26,'NECA Chapters(Debra)'!A:D,3,FALSE)</f>
        <v>#N/A</v>
      </c>
      <c r="D26" s="33" t="e">
        <f>VLOOKUP(A26,'NECA Chapters(Debra)'!A:D,4,FALSE)</f>
        <v>#N/A</v>
      </c>
      <c r="E26" s="33" t="e">
        <f>VLOOKUP(A26,'NECA Chapters(Debra)'!A:D,2,FALSE)</f>
        <v>#N/A</v>
      </c>
    </row>
    <row r="27" spans="1:8" customFormat="1" x14ac:dyDescent="0.25">
      <c r="A27" s="35" t="s">
        <v>83</v>
      </c>
      <c r="B27" s="36" t="s">
        <v>29</v>
      </c>
      <c r="C27" s="33" t="e">
        <f>VLOOKUP(A27,'NECA Chapters(Debra)'!A:D,3,FALSE)</f>
        <v>#N/A</v>
      </c>
      <c r="D27" s="33" t="e">
        <f>VLOOKUP(A27,'NECA Chapters(Debra)'!A:D,4,FALSE)</f>
        <v>#N/A</v>
      </c>
      <c r="E27" s="33" t="e">
        <f>VLOOKUP(A27,'NECA Chapters(Debra)'!A:D,2,FALSE)</f>
        <v>#N/A</v>
      </c>
      <c r="F27" s="36"/>
      <c r="G27" s="36"/>
      <c r="H27" s="36"/>
    </row>
    <row r="28" spans="1:8" customFormat="1" x14ac:dyDescent="0.25">
      <c r="A28" s="35">
        <v>234</v>
      </c>
      <c r="B28" s="36" t="s">
        <v>82</v>
      </c>
      <c r="C28" s="33" t="str">
        <f>VLOOKUP(A28,'NECA Chapters(Debra)'!A:D,3,FALSE)</f>
        <v>Monterey Bay California Chapter NECA</v>
      </c>
      <c r="D28" s="33" t="str">
        <f>VLOOKUP(A28,'NECA Chapters(Debra)'!A:D,4,FALSE)</f>
        <v>Salinas Division - 234</v>
      </c>
      <c r="E28" s="33" t="str">
        <f>VLOOKUP(A28,'NECA Chapters(Debra)'!A:D,2,FALSE)</f>
        <v>CA</v>
      </c>
      <c r="F28" s="36"/>
      <c r="G28" s="36"/>
      <c r="H28" s="36"/>
    </row>
    <row r="29" spans="1:8" x14ac:dyDescent="0.25">
      <c r="A29" s="31">
        <v>270</v>
      </c>
      <c r="B29" s="32" t="s">
        <v>70</v>
      </c>
      <c r="C29" s="33" t="str">
        <f>VLOOKUP(A29,'NECA Chapters(Debra)'!A:D,3,FALSE)</f>
        <v>East Tennessee Chapter NECA</v>
      </c>
      <c r="D29" s="33" t="str">
        <f>VLOOKUP(A29,'NECA Chapters(Debra)'!A:D,4,FALSE)</f>
        <v>Oak Ridge Division - 270</v>
      </c>
      <c r="E29" s="33" t="str">
        <f>VLOOKUP(A29,'NECA Chapters(Debra)'!A:D,2,FALSE)</f>
        <v>TN</v>
      </c>
    </row>
    <row r="30" spans="1:8" x14ac:dyDescent="0.25">
      <c r="A30" s="31">
        <v>280</v>
      </c>
      <c r="B30" s="32" t="s">
        <v>30</v>
      </c>
      <c r="C30" s="33" t="str">
        <f>VLOOKUP(A30,'NECA Chapters(Debra)'!A:D,3,FALSE)</f>
        <v>Oregon-Pacific-Cascade Chapter NECA</v>
      </c>
      <c r="D30" s="33" t="str">
        <f>VLOOKUP(A30,'NECA Chapters(Debra)'!A:D,4,FALSE)</f>
        <v>Cascade Div-Central Oregon-280</v>
      </c>
      <c r="E30" s="33" t="str">
        <f>VLOOKUP(A30,'NECA Chapters(Debra)'!A:D,2,FALSE)</f>
        <v>OR</v>
      </c>
    </row>
    <row r="31" spans="1:8" x14ac:dyDescent="0.25">
      <c r="A31" s="34">
        <v>291</v>
      </c>
      <c r="B31" s="32" t="s">
        <v>31</v>
      </c>
      <c r="C31" s="33" t="str">
        <f>VLOOKUP(A31,'NECA Chapters(Debra)'!A:D,3,FALSE)</f>
        <v>Idaho Chapter NECA</v>
      </c>
      <c r="D31" s="33" t="str">
        <f>VLOOKUP(A31,'NECA Chapters(Debra)'!A:D,4,FALSE)</f>
        <v>Western Division - 291</v>
      </c>
      <c r="E31" s="33" t="str">
        <f>VLOOKUP(A31,'NECA Chapters(Debra)'!A:D,2,FALSE)</f>
        <v>ID</v>
      </c>
    </row>
    <row r="32" spans="1:8" x14ac:dyDescent="0.25">
      <c r="A32" s="31">
        <v>302</v>
      </c>
      <c r="B32" s="32" t="s">
        <v>32</v>
      </c>
      <c r="C32" s="33" t="str">
        <f>VLOOKUP(A32,'NECA Chapters(Debra)'!A:D,3,FALSE)</f>
        <v>Contra Costa Chapter NECA</v>
      </c>
      <c r="D32" s="33" t="str">
        <f>VLOOKUP(A32,'NECA Chapters(Debra)'!A:D,4,FALSE)</f>
        <v>Martinez Division - 302</v>
      </c>
      <c r="E32" s="33" t="str">
        <f>VLOOKUP(A32,'NECA Chapters(Debra)'!A:D,2,FALSE)</f>
        <v>CA</v>
      </c>
    </row>
    <row r="33" spans="1:8" x14ac:dyDescent="0.25">
      <c r="A33" s="31">
        <v>332</v>
      </c>
      <c r="B33" s="32" t="s">
        <v>33</v>
      </c>
      <c r="C33" s="33" t="str">
        <f>VLOOKUP(A33,'NECA Chapters(Debra)'!A:D,3,FALSE)</f>
        <v>Santa Clara Valley Chapter NECA</v>
      </c>
      <c r="D33" s="33" t="str">
        <f>VLOOKUP(A33,'NECA Chapters(Debra)'!A:D,4,FALSE)</f>
        <v>San Jose Division - 332</v>
      </c>
      <c r="E33" s="33" t="str">
        <f>VLOOKUP(A33,'NECA Chapters(Debra)'!A:D,2,FALSE)</f>
        <v>CA</v>
      </c>
    </row>
    <row r="34" spans="1:8" x14ac:dyDescent="0.25">
      <c r="A34" s="31">
        <v>340</v>
      </c>
      <c r="B34" s="32" t="s">
        <v>34</v>
      </c>
      <c r="C34" s="33" t="str">
        <f>VLOOKUP(A34,'NECA Chapters(Debra)'!A:D,3,FALSE)</f>
        <v>Greater Sacramento Chapter NECA</v>
      </c>
      <c r="D34" s="33" t="str">
        <f>VLOOKUP(A34,'NECA Chapters(Debra)'!A:D,4,FALSE)</f>
        <v>Sacramento Division - 340</v>
      </c>
      <c r="E34" s="33" t="str">
        <f>VLOOKUP(A34,'NECA Chapters(Debra)'!A:D,2,FALSE)</f>
        <v>CA</v>
      </c>
    </row>
    <row r="35" spans="1:8" s="2" customFormat="1" x14ac:dyDescent="0.25">
      <c r="A35" s="37">
        <v>354</v>
      </c>
      <c r="B35" s="38" t="s">
        <v>67</v>
      </c>
      <c r="C35" s="33" t="str">
        <f>VLOOKUP(A35,'NECA Chapters(Debra)'!A:D,3,FALSE)</f>
        <v>Intermountain Chapter NECA</v>
      </c>
      <c r="D35" s="33" t="str">
        <f>VLOOKUP(A35,'NECA Chapters(Debra)'!A:D,4,FALSE)</f>
        <v>Utah Division - 354</v>
      </c>
      <c r="E35" s="33" t="str">
        <f>VLOOKUP(A35,'NECA Chapters(Debra)'!A:D,2,FALSE)</f>
        <v>UT</v>
      </c>
      <c r="F35" s="38"/>
      <c r="G35" s="38"/>
      <c r="H35" s="38"/>
    </row>
    <row r="36" spans="1:8" x14ac:dyDescent="0.25">
      <c r="A36" s="31">
        <v>357</v>
      </c>
      <c r="B36" s="32" t="s">
        <v>35</v>
      </c>
      <c r="C36" s="33" t="str">
        <f>VLOOKUP(A36,'NECA Chapters(Debra)'!A:D,3,FALSE)</f>
        <v>Southern Nevada Chapter NECA</v>
      </c>
      <c r="D36" s="33" t="str">
        <f>VLOOKUP(A36,'NECA Chapters(Debra)'!A:D,4,FALSE)</f>
        <v>Las Vegas Division - 357</v>
      </c>
      <c r="E36" s="33" t="str">
        <f>VLOOKUP(A36,'NECA Chapters(Debra)'!A:D,2,FALSE)</f>
        <v>NV</v>
      </c>
    </row>
    <row r="37" spans="1:8" x14ac:dyDescent="0.25">
      <c r="A37" s="34">
        <v>379</v>
      </c>
      <c r="B37" s="32" t="s">
        <v>36</v>
      </c>
      <c r="C37" s="33" t="str">
        <f>VLOOKUP(A37,'NECA Chapters(Debra)'!A:D,3,FALSE)</f>
        <v>Atlantic Coast Chapter NECA</v>
      </c>
      <c r="D37" s="33" t="str">
        <f>VLOOKUP(A37,'NECA Chapters(Debra)'!A:D,4,FALSE)</f>
        <v>Charlotte Division - 379</v>
      </c>
      <c r="E37" s="33" t="str">
        <f>VLOOKUP(A37,'NECA Chapters(Debra)'!A:D,2,FALSE)</f>
        <v>VA</v>
      </c>
    </row>
    <row r="38" spans="1:8" x14ac:dyDescent="0.25">
      <c r="A38" s="31">
        <v>401</v>
      </c>
      <c r="B38" s="32" t="s">
        <v>37</v>
      </c>
      <c r="C38" s="33" t="str">
        <f>VLOOKUP(A38,'NECA Chapters(Debra)'!A:D,3,FALSE)</f>
        <v>Greater Sacramento Chapter NECA</v>
      </c>
      <c r="D38" s="33" t="str">
        <f>VLOOKUP(A38,'NECA Chapters(Debra)'!A:D,4,FALSE)</f>
        <v>Reno Division - 401</v>
      </c>
      <c r="E38" s="33" t="str">
        <f>VLOOKUP(A38,'NECA Chapters(Debra)'!A:D,2,FALSE)</f>
        <v>CA</v>
      </c>
    </row>
    <row r="39" spans="1:8" x14ac:dyDescent="0.25">
      <c r="A39" s="31">
        <v>405</v>
      </c>
      <c r="B39" s="32" t="s">
        <v>28</v>
      </c>
      <c r="C39" s="33" t="str">
        <f>VLOOKUP(A39,'NECA Chapters(Debra)'!A:D,3,FALSE)</f>
        <v>Iowa Chapter NECA</v>
      </c>
      <c r="D39" s="33" t="str">
        <f>VLOOKUP(A39,'NECA Chapters(Debra)'!A:D,4,FALSE)</f>
        <v>Cedar Rapids Division - 405</v>
      </c>
      <c r="E39" s="33" t="str">
        <f>VLOOKUP(A39,'NECA Chapters(Debra)'!A:D,2,FALSE)</f>
        <v>IA</v>
      </c>
    </row>
    <row r="40" spans="1:8" x14ac:dyDescent="0.25">
      <c r="A40" s="37">
        <v>413</v>
      </c>
      <c r="B40" s="32" t="s">
        <v>59</v>
      </c>
      <c r="C40" s="33" t="str">
        <f>VLOOKUP(A40,'NECA Chapters(Debra)'!A:D,3,FALSE)</f>
        <v>California Central Coast Chapter NECA</v>
      </c>
      <c r="D40" s="33" t="str">
        <f>VLOOKUP(A40,'NECA Chapters(Debra)'!A:D,4,FALSE)</f>
        <v>Santa Barbara Division - 413</v>
      </c>
      <c r="E40" s="33" t="str">
        <f>VLOOKUP(A40,'NECA Chapters(Debra)'!A:D,2,FALSE)</f>
        <v>CA</v>
      </c>
    </row>
    <row r="41" spans="1:8" customFormat="1" x14ac:dyDescent="0.25">
      <c r="A41" s="35">
        <v>415</v>
      </c>
      <c r="B41" s="36" t="s">
        <v>85</v>
      </c>
      <c r="C41" s="33" t="str">
        <f>VLOOKUP(A41,'NECA Chapters(Debra)'!A:D,3,FALSE)</f>
        <v>Wyoming Chapter NECA</v>
      </c>
      <c r="D41" s="33" t="str">
        <f>VLOOKUP(A41,'NECA Chapters(Debra)'!A:D,4,FALSE)</f>
        <v>Cheyenne Division - 415</v>
      </c>
      <c r="E41" s="33" t="str">
        <f>VLOOKUP(A41,'NECA Chapters(Debra)'!A:D,2,FALSE)</f>
        <v>WY</v>
      </c>
      <c r="F41" s="36"/>
      <c r="G41" s="36"/>
      <c r="H41" s="36"/>
    </row>
    <row r="42" spans="1:8" x14ac:dyDescent="0.25">
      <c r="A42" s="31">
        <v>428</v>
      </c>
      <c r="B42" s="32" t="s">
        <v>38</v>
      </c>
      <c r="C42" s="33" t="str">
        <f>VLOOKUP(A42,'NECA Chapters(Debra)'!A:D,3,FALSE)</f>
        <v>Kern County Chapter NECA</v>
      </c>
      <c r="D42" s="33" t="str">
        <f>VLOOKUP(A42,'NECA Chapters(Debra)'!A:D,4,FALSE)</f>
        <v>Bakersfield Division -428</v>
      </c>
      <c r="E42" s="33" t="str">
        <f>VLOOKUP(A42,'NECA Chapters(Debra)'!A:D,2,FALSE)</f>
        <v>CA</v>
      </c>
    </row>
    <row r="43" spans="1:8" x14ac:dyDescent="0.25">
      <c r="A43" s="34">
        <v>429</v>
      </c>
      <c r="B43" s="32" t="s">
        <v>57</v>
      </c>
      <c r="C43" s="33" t="str">
        <f>VLOOKUP(A43,'NECA Chapters(Debra)'!A:D,3,FALSE)</f>
        <v>East Tennessee Chapter NECA</v>
      </c>
      <c r="D43" s="33" t="str">
        <f>VLOOKUP(A43,'NECA Chapters(Debra)'!A:D,4,FALSE)</f>
        <v>Nashville Division - 429</v>
      </c>
      <c r="E43" s="33" t="str">
        <f>VLOOKUP(A43,'NECA Chapters(Debra)'!A:D,2,FALSE)</f>
        <v>TN</v>
      </c>
    </row>
    <row r="44" spans="1:8" x14ac:dyDescent="0.25">
      <c r="A44" s="31">
        <v>440</v>
      </c>
      <c r="B44" s="32" t="s">
        <v>39</v>
      </c>
      <c r="C44" s="33" t="str">
        <f>VLOOKUP(A44,'NECA Chapters(Debra)'!A:D,3,FALSE)</f>
        <v>Southern Sierras Chapter NECA</v>
      </c>
      <c r="D44" s="33" t="str">
        <f>VLOOKUP(A44,'NECA Chapters(Debra)'!A:D,4,FALSE)</f>
        <v>Riverside Division - 440</v>
      </c>
      <c r="E44" s="33" t="str">
        <f>VLOOKUP(A44,'NECA Chapters(Debra)'!A:D,2,FALSE)</f>
        <v>CA</v>
      </c>
    </row>
    <row r="45" spans="1:8" x14ac:dyDescent="0.25">
      <c r="A45" s="31">
        <v>441</v>
      </c>
      <c r="B45" s="32" t="s">
        <v>40</v>
      </c>
      <c r="C45" s="33" t="str">
        <f>VLOOKUP(A45,'NECA Chapters(Debra)'!A:D,3,FALSE)</f>
        <v>Orange County Chapter NECA</v>
      </c>
      <c r="D45" s="33" t="str">
        <f>VLOOKUP(A45,'NECA Chapters(Debra)'!A:D,4,FALSE)</f>
        <v>Orange Division - 441</v>
      </c>
      <c r="E45" s="33" t="str">
        <f>VLOOKUP(A45,'NECA Chapters(Debra)'!A:D,2,FALSE)</f>
        <v>CA</v>
      </c>
    </row>
    <row r="46" spans="1:8" x14ac:dyDescent="0.25">
      <c r="A46" s="31">
        <v>477</v>
      </c>
      <c r="B46" s="32" t="s">
        <v>41</v>
      </c>
      <c r="C46" s="33" t="str">
        <f>VLOOKUP(A46,'NECA Chapters(Debra)'!A:D,3,FALSE)</f>
        <v>Southern Sierras Chapter NECA</v>
      </c>
      <c r="D46" s="33" t="str">
        <f>VLOOKUP(A46,'NECA Chapters(Debra)'!A:D,4,FALSE)</f>
        <v>San Bernardino Division - 477</v>
      </c>
      <c r="E46" s="33" t="str">
        <f>VLOOKUP(A46,'NECA Chapters(Debra)'!A:D,2,FALSE)</f>
        <v>CA</v>
      </c>
    </row>
    <row r="47" spans="1:8" x14ac:dyDescent="0.25">
      <c r="A47" s="34">
        <v>520</v>
      </c>
      <c r="B47" s="32" t="s">
        <v>42</v>
      </c>
      <c r="C47" s="33" t="str">
        <f>VLOOKUP(A47,'NECA Chapters(Debra)'!A:D,3,FALSE)</f>
        <v>Central Texas Chapter NECA</v>
      </c>
      <c r="D47" s="33" t="str">
        <f>VLOOKUP(A47,'NECA Chapters(Debra)'!A:D,4,FALSE)</f>
        <v>Austin Division - 520</v>
      </c>
      <c r="E47" s="33" t="str">
        <f>VLOOKUP(A47,'NECA Chapters(Debra)'!A:D,2,FALSE)</f>
        <v>TX</v>
      </c>
    </row>
    <row r="48" spans="1:8" x14ac:dyDescent="0.25">
      <c r="A48" s="34">
        <v>527</v>
      </c>
      <c r="B48" s="32" t="s">
        <v>43</v>
      </c>
      <c r="C48" s="33" t="e">
        <f>VLOOKUP(A48,'NECA Chapters(Debra)'!A:D,3,FALSE)</f>
        <v>#N/A</v>
      </c>
      <c r="D48" s="33" t="e">
        <f>VLOOKUP(A48,'NECA Chapters(Debra)'!A:D,4,FALSE)</f>
        <v>#N/A</v>
      </c>
      <c r="E48" s="33" t="e">
        <f>VLOOKUP(A48,'NECA Chapters(Debra)'!A:D,2,FALSE)</f>
        <v>#N/A</v>
      </c>
    </row>
    <row r="49" spans="1:5" x14ac:dyDescent="0.25">
      <c r="A49" s="34">
        <v>557</v>
      </c>
      <c r="B49" s="32" t="s">
        <v>68</v>
      </c>
      <c r="C49" s="33" t="str">
        <f>VLOOKUP(A49,'NECA Chapters(Debra)'!A:D,3,FALSE)</f>
        <v>Michigan Chapter NECA</v>
      </c>
      <c r="D49" s="33" t="str">
        <f>VLOOKUP(A49,'NECA Chapters(Debra)'!A:D,4,FALSE)</f>
        <v>Saginaw Division - 557</v>
      </c>
      <c r="E49" s="33" t="str">
        <f>VLOOKUP(A49,'NECA Chapters(Debra)'!A:D,2,FALSE)</f>
        <v>MI</v>
      </c>
    </row>
    <row r="50" spans="1:5" x14ac:dyDescent="0.25">
      <c r="A50" s="31">
        <v>558</v>
      </c>
      <c r="B50" s="32" t="s">
        <v>66</v>
      </c>
      <c r="C50" s="33" t="str">
        <f>VLOOKUP(A50,'NECA Chapters(Debra)'!A:D,3,FALSE)</f>
        <v>Gulf Coast Chapter NECA</v>
      </c>
      <c r="D50" s="33" t="str">
        <f>VLOOKUP(A50,'NECA Chapters(Debra)'!A:D,4,FALSE)</f>
        <v>Sheffield Division - 558</v>
      </c>
      <c r="E50" s="33" t="str">
        <f>VLOOKUP(A50,'NECA Chapters(Debra)'!A:D,2,FALSE)</f>
        <v>AL</v>
      </c>
    </row>
    <row r="51" spans="1:5" x14ac:dyDescent="0.25">
      <c r="A51" s="31">
        <v>569</v>
      </c>
      <c r="B51" s="32" t="s">
        <v>44</v>
      </c>
      <c r="C51" s="33" t="str">
        <f>VLOOKUP(A51,'NECA Chapters(Debra)'!A:D,3,FALSE)</f>
        <v>San Diego Chapter NECA</v>
      </c>
      <c r="D51" s="33" t="str">
        <f>VLOOKUP(A51,'NECA Chapters(Debra)'!A:D,4,FALSE)</f>
        <v>San Diego Division - 569</v>
      </c>
      <c r="E51" s="33" t="str">
        <f>VLOOKUP(A51,'NECA Chapters(Debra)'!A:D,2,FALSE)</f>
        <v>CA</v>
      </c>
    </row>
    <row r="52" spans="1:5" x14ac:dyDescent="0.25">
      <c r="A52" s="31">
        <v>570</v>
      </c>
      <c r="B52" s="32" t="s">
        <v>45</v>
      </c>
      <c r="C52" s="33" t="str">
        <f>VLOOKUP(A52,'NECA Chapters(Debra)'!A:D,3,FALSE)</f>
        <v>Southern Arizona Chapter NECA</v>
      </c>
      <c r="D52" s="33" t="str">
        <f>VLOOKUP(A52,'NECA Chapters(Debra)'!A:D,4,FALSE)</f>
        <v>Tucson Division - 570</v>
      </c>
      <c r="E52" s="33" t="str">
        <f>VLOOKUP(A52,'NECA Chapters(Debra)'!A:D,2,FALSE)</f>
        <v>AZ</v>
      </c>
    </row>
    <row r="53" spans="1:5" x14ac:dyDescent="0.25">
      <c r="A53" s="34">
        <v>583</v>
      </c>
      <c r="B53" s="32" t="s">
        <v>74</v>
      </c>
      <c r="C53" s="33" t="str">
        <f>VLOOKUP(A53,'NECA Chapters(Debra)'!A:D,3,FALSE)</f>
        <v>El Paso Chapter NECA</v>
      </c>
      <c r="D53" s="33" t="str">
        <f>VLOOKUP(A53,'NECA Chapters(Debra)'!A:D,4,FALSE)</f>
        <v>El Paso Division - 583</v>
      </c>
      <c r="E53" s="33" t="str">
        <f>VLOOKUP(A53,'NECA Chapters(Debra)'!A:D,2,FALSE)</f>
        <v>TX</v>
      </c>
    </row>
    <row r="54" spans="1:5" x14ac:dyDescent="0.25">
      <c r="A54" s="31" t="s">
        <v>4</v>
      </c>
      <c r="B54" s="32" t="s">
        <v>62</v>
      </c>
      <c r="C54" s="33" t="e">
        <f>VLOOKUP(A54,'NECA Chapters(Debra)'!A:D,3,FALSE)</f>
        <v>#N/A</v>
      </c>
      <c r="D54" s="33" t="e">
        <f>VLOOKUP(A54,'NECA Chapters(Debra)'!A:D,4,FALSE)</f>
        <v>#N/A</v>
      </c>
      <c r="E54" s="33" t="e">
        <f>VLOOKUP(A54,'NECA Chapters(Debra)'!A:D,2,FALSE)</f>
        <v>#N/A</v>
      </c>
    </row>
    <row r="55" spans="1:5" x14ac:dyDescent="0.25">
      <c r="A55" s="31">
        <v>602</v>
      </c>
      <c r="B55" s="32" t="s">
        <v>46</v>
      </c>
      <c r="C55" s="33" t="str">
        <f>VLOOKUP(A55,'NECA Chapters(Debra)'!A:D,3,FALSE)</f>
        <v>West Texas Chapter NECA</v>
      </c>
      <c r="D55" s="33" t="str">
        <f>VLOOKUP(A55,'NECA Chapters(Debra)'!A:D,4,FALSE)</f>
        <v>Amarillo Division - 602</v>
      </c>
      <c r="E55" s="33" t="str">
        <f>VLOOKUP(A55,'NECA Chapters(Debra)'!A:D,2,FALSE)</f>
        <v>TX</v>
      </c>
    </row>
    <row r="56" spans="1:5" x14ac:dyDescent="0.25">
      <c r="A56" s="31" t="s">
        <v>5</v>
      </c>
      <c r="B56" s="32" t="s">
        <v>29</v>
      </c>
      <c r="C56" s="33" t="e">
        <f>VLOOKUP(A56,'NECA Chapters(Debra)'!A:D,3,FALSE)</f>
        <v>#N/A</v>
      </c>
      <c r="D56" s="33" t="e">
        <f>VLOOKUP(A56,'NECA Chapters(Debra)'!A:D,4,FALSE)</f>
        <v>#N/A</v>
      </c>
      <c r="E56" s="33" t="e">
        <f>VLOOKUP(A56,'NECA Chapters(Debra)'!A:D,2,FALSE)</f>
        <v>#N/A</v>
      </c>
    </row>
    <row r="57" spans="1:5" x14ac:dyDescent="0.25">
      <c r="A57" s="31" t="s">
        <v>75</v>
      </c>
      <c r="B57" s="32" t="s">
        <v>76</v>
      </c>
      <c r="C57" s="33" t="e">
        <f>VLOOKUP(A57,'NECA Chapters(Debra)'!A:D,3,FALSE)</f>
        <v>#N/A</v>
      </c>
      <c r="D57" s="33" t="e">
        <f>VLOOKUP(A57,'NECA Chapters(Debra)'!A:D,4,FALSE)</f>
        <v>#N/A</v>
      </c>
      <c r="E57" s="33" t="e">
        <f>VLOOKUP(A57,'NECA Chapters(Debra)'!A:D,2,FALSE)</f>
        <v>#N/A</v>
      </c>
    </row>
    <row r="58" spans="1:5" x14ac:dyDescent="0.25">
      <c r="A58" s="31">
        <v>617</v>
      </c>
      <c r="B58" s="32" t="s">
        <v>47</v>
      </c>
      <c r="C58" s="33" t="str">
        <f>VLOOKUP(A58,'NECA Chapters(Debra)'!A:D,3,FALSE)</f>
        <v>San Mateo Chapter NECA</v>
      </c>
      <c r="D58" s="33" t="str">
        <f>VLOOKUP(A58,'NECA Chapters(Debra)'!A:D,4,FALSE)</f>
        <v>San Mateo Division - 617</v>
      </c>
      <c r="E58" s="33" t="str">
        <f>VLOOKUP(A58,'NECA Chapters(Debra)'!A:D,2,FALSE)</f>
        <v>CA</v>
      </c>
    </row>
    <row r="59" spans="1:5" x14ac:dyDescent="0.25">
      <c r="A59" s="31">
        <v>640</v>
      </c>
      <c r="B59" s="32" t="s">
        <v>48</v>
      </c>
      <c r="C59" s="33" t="str">
        <f>VLOOKUP(A59,'NECA Chapters(Debra)'!A:D,3,FALSE)</f>
        <v>Arizona Chapter NECA</v>
      </c>
      <c r="D59" s="33" t="str">
        <f>VLOOKUP(A59,'NECA Chapters(Debra)'!A:D,4,FALSE)</f>
        <v>Phoenix Division - 640</v>
      </c>
      <c r="E59" s="33" t="str">
        <f>VLOOKUP(A59,'NECA Chapters(Debra)'!A:D,2,FALSE)</f>
        <v>AZ</v>
      </c>
    </row>
    <row r="60" spans="1:5" x14ac:dyDescent="0.25">
      <c r="A60" s="34">
        <v>666</v>
      </c>
      <c r="B60" s="32" t="s">
        <v>65</v>
      </c>
      <c r="C60" s="33" t="str">
        <f>VLOOKUP(A60,'NECA Chapters(Debra)'!A:D,3,FALSE)</f>
        <v>Atlantic Coast Chapter NECA</v>
      </c>
      <c r="D60" s="33" t="str">
        <f>VLOOKUP(A60,'NECA Chapters(Debra)'!A:D,4,FALSE)</f>
        <v>Richmond Division - 666</v>
      </c>
      <c r="E60" s="33" t="str">
        <f>VLOOKUP(A60,'NECA Chapters(Debra)'!A:D,2,FALSE)</f>
        <v>VA</v>
      </c>
    </row>
    <row r="61" spans="1:5" x14ac:dyDescent="0.25">
      <c r="A61" s="31">
        <v>681</v>
      </c>
      <c r="B61" s="32" t="s">
        <v>49</v>
      </c>
      <c r="C61" s="33" t="str">
        <f>VLOOKUP(A61,'NECA Chapters(Debra)'!A:D,3,FALSE)</f>
        <v>Red River Valley Chapter NECA</v>
      </c>
      <c r="D61" s="33" t="str">
        <f>VLOOKUP(A61,'NECA Chapters(Debra)'!A:D,4,FALSE)</f>
        <v>Abilene Division - 681</v>
      </c>
      <c r="E61" s="33" t="str">
        <f>VLOOKUP(A61,'NECA Chapters(Debra)'!A:D,2,FALSE)</f>
        <v>TX</v>
      </c>
    </row>
    <row r="62" spans="1:5" x14ac:dyDescent="0.25">
      <c r="A62" s="31" t="s">
        <v>6</v>
      </c>
      <c r="B62" s="32" t="s">
        <v>29</v>
      </c>
      <c r="C62" s="33" t="e">
        <f>VLOOKUP(A62,'NECA Chapters(Debra)'!A:D,3,FALSE)</f>
        <v>#N/A</v>
      </c>
      <c r="D62" s="33" t="e">
        <f>VLOOKUP(A62,'NECA Chapters(Debra)'!A:D,4,FALSE)</f>
        <v>#N/A</v>
      </c>
      <c r="E62" s="33" t="e">
        <f>VLOOKUP(A62,'NECA Chapters(Debra)'!A:D,2,FALSE)</f>
        <v>#N/A</v>
      </c>
    </row>
    <row r="63" spans="1:5" x14ac:dyDescent="0.25">
      <c r="A63" s="34">
        <v>716</v>
      </c>
      <c r="B63" s="32" t="s">
        <v>50</v>
      </c>
      <c r="C63" s="33" t="str">
        <f>VLOOKUP(A63,'NECA Chapters(Debra)'!A:D,3,FALSE)</f>
        <v>Southeast Texas Chapter NECA</v>
      </c>
      <c r="D63" s="33" t="str">
        <f>VLOOKUP(A63,'NECA Chapters(Debra)'!A:D,4,FALSE)</f>
        <v>Houston Division - 716</v>
      </c>
      <c r="E63" s="33" t="str">
        <f>VLOOKUP(A63,'NECA Chapters(Debra)'!A:D,2,FALSE)</f>
        <v>TX</v>
      </c>
    </row>
    <row r="64" spans="1:5" x14ac:dyDescent="0.25">
      <c r="A64" s="31" t="s">
        <v>55</v>
      </c>
      <c r="B64" s="32" t="s">
        <v>56</v>
      </c>
      <c r="C64" s="33" t="e">
        <f>VLOOKUP(A64,'NECA Chapters(Debra)'!A:D,3,FALSE)</f>
        <v>#N/A</v>
      </c>
      <c r="D64" s="33" t="e">
        <f>VLOOKUP(A64,'NECA Chapters(Debra)'!A:D,4,FALSE)</f>
        <v>#N/A</v>
      </c>
      <c r="E64" s="33" t="e">
        <f>VLOOKUP(A64,'NECA Chapters(Debra)'!A:D,2,FALSE)</f>
        <v>#N/A</v>
      </c>
    </row>
    <row r="65" spans="1:5" x14ac:dyDescent="0.25">
      <c r="A65" s="31" t="s">
        <v>63</v>
      </c>
      <c r="B65" s="32" t="s">
        <v>64</v>
      </c>
      <c r="C65" s="33" t="e">
        <f>VLOOKUP(A65,'NECA Chapters(Debra)'!A:D,3,FALSE)</f>
        <v>#N/A</v>
      </c>
      <c r="D65" s="33" t="e">
        <f>VLOOKUP(A65,'NECA Chapters(Debra)'!A:D,4,FALSE)</f>
        <v>#N/A</v>
      </c>
      <c r="E65" s="33" t="e">
        <f>VLOOKUP(A65,'NECA Chapters(Debra)'!A:D,2,FALSE)</f>
        <v>#N/A</v>
      </c>
    </row>
    <row r="66" spans="1:5" x14ac:dyDescent="0.25">
      <c r="A66" s="34">
        <v>776</v>
      </c>
      <c r="B66" s="32" t="s">
        <v>80</v>
      </c>
      <c r="C66" s="33" t="str">
        <f>VLOOKUP(A66,'NECA Chapters(Debra)'!A:D,3,FALSE)</f>
        <v>Atlantic Coast Chapter NECA</v>
      </c>
      <c r="D66" s="33" t="str">
        <f>VLOOKUP(A66,'NECA Chapters(Debra)'!A:D,4,FALSE)</f>
        <v>South Carolina Division - 776</v>
      </c>
      <c r="E66" s="33" t="str">
        <f>VLOOKUP(A66,'NECA Chapters(Debra)'!A:D,2,FALSE)</f>
        <v>VA</v>
      </c>
    </row>
    <row r="67" spans="1:5" x14ac:dyDescent="0.25">
      <c r="A67" s="31" t="s">
        <v>79</v>
      </c>
      <c r="B67" s="32" t="s">
        <v>81</v>
      </c>
      <c r="C67" s="33" t="e">
        <f>VLOOKUP(A67,'NECA Chapters(Debra)'!A:D,3,FALSE)</f>
        <v>#N/A</v>
      </c>
      <c r="D67" s="33" t="e">
        <f>VLOOKUP(A67,'NECA Chapters(Debra)'!A:D,4,FALSE)</f>
        <v>#N/A</v>
      </c>
      <c r="E67" s="33" t="e">
        <f>VLOOKUP(A67,'NECA Chapters(Debra)'!A:D,2,FALSE)</f>
        <v>#N/A</v>
      </c>
    </row>
    <row r="68" spans="1:5" x14ac:dyDescent="0.25">
      <c r="A68" s="34">
        <v>917</v>
      </c>
      <c r="B68" s="32" t="s">
        <v>78</v>
      </c>
      <c r="C68" s="33" t="str">
        <f>VLOOKUP(A68,'NECA Chapters(Debra)'!A:D,3,FALSE)</f>
        <v>Central Mississippi Chapter NECA</v>
      </c>
      <c r="D68" s="33" t="str">
        <f>VLOOKUP(A68,'NECA Chapters(Debra)'!A:D,4,FALSE)</f>
        <v>Meridian Division - 917</v>
      </c>
      <c r="E68" s="33" t="str">
        <f>VLOOKUP(A68,'NECA Chapters(Debra)'!A:D,2,FALSE)</f>
        <v>MS</v>
      </c>
    </row>
    <row r="69" spans="1:5" x14ac:dyDescent="0.25">
      <c r="A69" s="31">
        <v>952</v>
      </c>
      <c r="B69" s="32" t="s">
        <v>51</v>
      </c>
      <c r="C69" s="33" t="str">
        <f>VLOOKUP(A69,'NECA Chapters(Debra)'!A:D,3,FALSE)</f>
        <v>Los Angeles County Chapter NECA</v>
      </c>
      <c r="D69" s="33" t="str">
        <f>VLOOKUP(A69,'NECA Chapters(Debra)'!A:D,4,FALSE)</f>
        <v>Ventura Division - 952</v>
      </c>
      <c r="E69" s="33" t="str">
        <f>VLOOKUP(A69,'NECA Chapters(Debra)'!A:D,2,FALSE)</f>
        <v>CA</v>
      </c>
    </row>
    <row r="70" spans="1:5" x14ac:dyDescent="0.25">
      <c r="A70" s="34">
        <v>1184</v>
      </c>
      <c r="B70" s="32" t="s">
        <v>69</v>
      </c>
      <c r="C70" s="33" t="e">
        <f>VLOOKUP(A70,'NECA Chapters(Debra)'!A:D,3,FALSE)</f>
        <v>#N/A</v>
      </c>
      <c r="D70" s="33" t="e">
        <f>VLOOKUP(A70,'NECA Chapters(Debra)'!A:D,4,FALSE)</f>
        <v>#N/A</v>
      </c>
      <c r="E70" s="33" t="e">
        <f>VLOOKUP(A70,'NECA Chapters(Debra)'!A:D,2,FALSE)</f>
        <v>#N/A</v>
      </c>
    </row>
    <row r="71" spans="1:5" x14ac:dyDescent="0.25">
      <c r="A71" s="31" t="s">
        <v>71</v>
      </c>
      <c r="B71" s="32" t="s">
        <v>72</v>
      </c>
      <c r="C71" s="33" t="e">
        <f>VLOOKUP(A71,'NECA Chapters(Debra)'!A:D,3,FALSE)</f>
        <v>#N/A</v>
      </c>
      <c r="D71" s="33" t="e">
        <f>VLOOKUP(A71,'NECA Chapters(Debra)'!A:D,4,FALSE)</f>
        <v>#N/A</v>
      </c>
      <c r="E71" s="33" t="e">
        <f>VLOOKUP(A71,'NECA Chapters(Debra)'!A:D,2,FALSE)</f>
        <v>#N/A</v>
      </c>
    </row>
    <row r="72" spans="1:5" x14ac:dyDescent="0.25">
      <c r="A72" s="31">
        <v>1186</v>
      </c>
      <c r="B72" s="32" t="s">
        <v>52</v>
      </c>
      <c r="C72" s="33" t="str">
        <f>VLOOKUP(A72,'NECA Chapters(Debra)'!A:D,3,FALSE)</f>
        <v>Hawaii Chapter NECA</v>
      </c>
      <c r="D72" s="33" t="str">
        <f>VLOOKUP(A72,'NECA Chapters(Debra)'!A:D,4,FALSE)</f>
        <v>Hawaii Division - 1186</v>
      </c>
      <c r="E72" s="33" t="str">
        <f>VLOOKUP(A72,'NECA Chapters(Debra)'!A:D,2,FALSE)</f>
        <v>HI</v>
      </c>
    </row>
    <row r="73" spans="1:5" x14ac:dyDescent="0.25">
      <c r="A73" s="31" t="s">
        <v>7</v>
      </c>
      <c r="B73" s="32" t="s">
        <v>53</v>
      </c>
      <c r="C73" s="33" t="e">
        <f>VLOOKUP(A73,'NECA Chapters(Debra)'!A:D,3,FALSE)</f>
        <v>#N/A</v>
      </c>
      <c r="D73" s="33" t="e">
        <f>VLOOKUP(A73,'NECA Chapters(Debra)'!A:D,4,FALSE)</f>
        <v>#N/A</v>
      </c>
      <c r="E73" s="33" t="e">
        <f>VLOOKUP(A73,'NECA Chapters(Debra)'!A:D,2,FALSE)</f>
        <v>#N/A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4C48-6E6B-48D2-BCD3-4F4D329236BA}">
  <dimension ref="A1:D359"/>
  <sheetViews>
    <sheetView workbookViewId="0">
      <pane ySplit="1" topLeftCell="A50" activePane="bottomLeft" state="frozen"/>
      <selection pane="bottomLeft" activeCell="B1" sqref="B1"/>
    </sheetView>
  </sheetViews>
  <sheetFormatPr defaultRowHeight="15" x14ac:dyDescent="0.25"/>
  <cols>
    <col min="2" max="2" width="65.140625" bestFit="1" customWidth="1"/>
    <col min="3" max="3" width="54.5703125" bestFit="1" customWidth="1"/>
    <col min="4" max="4" width="39.28515625" bestFit="1" customWidth="1"/>
  </cols>
  <sheetData>
    <row r="1" spans="1:4" ht="15.75" x14ac:dyDescent="0.25">
      <c r="A1" s="5" t="s">
        <v>97</v>
      </c>
      <c r="B1" s="5" t="s">
        <v>94</v>
      </c>
      <c r="C1" s="5" t="s">
        <v>95</v>
      </c>
      <c r="D1" s="5" t="s">
        <v>96</v>
      </c>
    </row>
    <row r="2" spans="1:4" ht="15.75" x14ac:dyDescent="0.25">
      <c r="A2" s="6">
        <v>1547</v>
      </c>
      <c r="B2" s="6" t="s">
        <v>98</v>
      </c>
      <c r="C2" s="6" t="s">
        <v>99</v>
      </c>
      <c r="D2" s="6" t="s">
        <v>100</v>
      </c>
    </row>
    <row r="3" spans="1:4" ht="15.75" x14ac:dyDescent="0.25">
      <c r="A3" s="6">
        <v>136</v>
      </c>
      <c r="B3" s="6" t="s">
        <v>101</v>
      </c>
      <c r="C3" s="6" t="s">
        <v>102</v>
      </c>
      <c r="D3" s="6" t="s">
        <v>103</v>
      </c>
    </row>
    <row r="4" spans="1:4" ht="15.75" x14ac:dyDescent="0.25">
      <c r="A4" s="6">
        <v>903</v>
      </c>
      <c r="B4" s="6" t="s">
        <v>101</v>
      </c>
      <c r="C4" s="6" t="s">
        <v>102</v>
      </c>
      <c r="D4" s="6" t="s">
        <v>104</v>
      </c>
    </row>
    <row r="5" spans="1:4" ht="15.75" x14ac:dyDescent="0.25">
      <c r="A5" s="6">
        <v>505</v>
      </c>
      <c r="B5" s="6" t="s">
        <v>101</v>
      </c>
      <c r="C5" s="6" t="s">
        <v>102</v>
      </c>
      <c r="D5" s="6" t="s">
        <v>105</v>
      </c>
    </row>
    <row r="6" spans="1:4" ht="15.75" x14ac:dyDescent="0.25">
      <c r="A6" s="6">
        <v>558</v>
      </c>
      <c r="B6" s="6" t="s">
        <v>101</v>
      </c>
      <c r="C6" s="6" t="s">
        <v>102</v>
      </c>
      <c r="D6" s="6" t="s">
        <v>106</v>
      </c>
    </row>
    <row r="7" spans="1:4" ht="15.75" x14ac:dyDescent="0.25">
      <c r="A7" s="6">
        <v>436</v>
      </c>
      <c r="B7" s="6" t="s">
        <v>107</v>
      </c>
      <c r="C7" s="6" t="s">
        <v>108</v>
      </c>
      <c r="D7" s="6" t="s">
        <v>109</v>
      </c>
    </row>
    <row r="8" spans="1:4" ht="15.75" x14ac:dyDescent="0.25">
      <c r="A8" s="6">
        <v>700</v>
      </c>
      <c r="B8" s="6" t="s">
        <v>107</v>
      </c>
      <c r="C8" s="6" t="s">
        <v>108</v>
      </c>
      <c r="D8" s="6" t="s">
        <v>110</v>
      </c>
    </row>
    <row r="9" spans="1:4" ht="15.75" x14ac:dyDescent="0.25">
      <c r="A9" s="6">
        <v>1516</v>
      </c>
      <c r="B9" s="6" t="s">
        <v>107</v>
      </c>
      <c r="C9" s="6" t="s">
        <v>108</v>
      </c>
      <c r="D9" s="6" t="s">
        <v>111</v>
      </c>
    </row>
    <row r="10" spans="1:4" ht="15.75" x14ac:dyDescent="0.25">
      <c r="A10" s="6">
        <v>295</v>
      </c>
      <c r="B10" s="6" t="s">
        <v>107</v>
      </c>
      <c r="C10" s="6" t="s">
        <v>108</v>
      </c>
      <c r="D10" s="6" t="s">
        <v>112</v>
      </c>
    </row>
    <row r="11" spans="1:4" ht="15.75" x14ac:dyDescent="0.25">
      <c r="A11" s="6">
        <v>301</v>
      </c>
      <c r="B11" s="6" t="s">
        <v>107</v>
      </c>
      <c r="C11" s="6" t="s">
        <v>108</v>
      </c>
      <c r="D11" s="6" t="s">
        <v>113</v>
      </c>
    </row>
    <row r="12" spans="1:4" ht="15.75" x14ac:dyDescent="0.25">
      <c r="A12" s="6">
        <v>640</v>
      </c>
      <c r="B12" s="6" t="s">
        <v>114</v>
      </c>
      <c r="C12" s="6" t="s">
        <v>115</v>
      </c>
      <c r="D12" s="6" t="s">
        <v>116</v>
      </c>
    </row>
    <row r="13" spans="1:4" ht="15.75" x14ac:dyDescent="0.25">
      <c r="A13" s="6">
        <v>518</v>
      </c>
      <c r="B13" s="6" t="s">
        <v>114</v>
      </c>
      <c r="C13" s="6" t="s">
        <v>117</v>
      </c>
      <c r="D13" s="6" t="s">
        <v>118</v>
      </c>
    </row>
    <row r="14" spans="1:4" ht="15.75" x14ac:dyDescent="0.25">
      <c r="A14" s="6">
        <v>570</v>
      </c>
      <c r="B14" s="6" t="s">
        <v>114</v>
      </c>
      <c r="C14" s="6" t="s">
        <v>117</v>
      </c>
      <c r="D14" s="6" t="s">
        <v>119</v>
      </c>
    </row>
    <row r="15" spans="1:4" ht="15.75" x14ac:dyDescent="0.25">
      <c r="A15" s="6">
        <v>639</v>
      </c>
      <c r="B15" s="6" t="s">
        <v>120</v>
      </c>
      <c r="C15" s="6" t="s">
        <v>121</v>
      </c>
      <c r="D15" s="6" t="s">
        <v>122</v>
      </c>
    </row>
    <row r="16" spans="1:4" ht="15.75" x14ac:dyDescent="0.25">
      <c r="A16" s="6">
        <v>413</v>
      </c>
      <c r="B16" s="6" t="s">
        <v>120</v>
      </c>
      <c r="C16" s="6" t="s">
        <v>121</v>
      </c>
      <c r="D16" s="6" t="s">
        <v>123</v>
      </c>
    </row>
    <row r="17" spans="1:4" ht="15.75" x14ac:dyDescent="0.25">
      <c r="A17" s="6">
        <v>302</v>
      </c>
      <c r="B17" s="6" t="s">
        <v>120</v>
      </c>
      <c r="C17" s="6" t="s">
        <v>124</v>
      </c>
      <c r="D17" s="6" t="s">
        <v>125</v>
      </c>
    </row>
    <row r="18" spans="1:4" ht="15.75" x14ac:dyDescent="0.25">
      <c r="A18" s="6">
        <v>100</v>
      </c>
      <c r="B18" s="6" t="s">
        <v>120</v>
      </c>
      <c r="C18" s="6" t="s">
        <v>126</v>
      </c>
      <c r="D18" s="6" t="s">
        <v>127</v>
      </c>
    </row>
    <row r="19" spans="1:4" ht="15.75" x14ac:dyDescent="0.25">
      <c r="A19" s="6">
        <v>401</v>
      </c>
      <c r="B19" s="6" t="s">
        <v>120</v>
      </c>
      <c r="C19" s="6" t="s">
        <v>128</v>
      </c>
      <c r="D19" s="6" t="s">
        <v>129</v>
      </c>
    </row>
    <row r="20" spans="1:4" ht="15.75" x14ac:dyDescent="0.25">
      <c r="A20" s="6">
        <v>340</v>
      </c>
      <c r="B20" s="6" t="s">
        <v>120</v>
      </c>
      <c r="C20" s="6" t="s">
        <v>128</v>
      </c>
      <c r="D20" s="6" t="s">
        <v>130</v>
      </c>
    </row>
    <row r="21" spans="1:4" ht="15.75" x14ac:dyDescent="0.25">
      <c r="A21" s="6">
        <v>428</v>
      </c>
      <c r="B21" s="6" t="s">
        <v>120</v>
      </c>
      <c r="C21" s="6" t="s">
        <v>131</v>
      </c>
      <c r="D21" s="6" t="s">
        <v>132</v>
      </c>
    </row>
    <row r="22" spans="1:4" ht="15.75" x14ac:dyDescent="0.25">
      <c r="A22" s="6">
        <v>11</v>
      </c>
      <c r="B22" s="6" t="s">
        <v>120</v>
      </c>
      <c r="C22" s="6" t="s">
        <v>133</v>
      </c>
      <c r="D22" s="6" t="s">
        <v>134</v>
      </c>
    </row>
    <row r="23" spans="1:4" ht="15.75" x14ac:dyDescent="0.25">
      <c r="A23" s="6">
        <v>952</v>
      </c>
      <c r="B23" s="6" t="s">
        <v>120</v>
      </c>
      <c r="C23" s="6" t="s">
        <v>133</v>
      </c>
      <c r="D23" s="6" t="s">
        <v>135</v>
      </c>
    </row>
    <row r="24" spans="1:4" ht="15.75" x14ac:dyDescent="0.25">
      <c r="A24" s="6">
        <v>234</v>
      </c>
      <c r="B24" s="6" t="s">
        <v>120</v>
      </c>
      <c r="C24" s="6" t="s">
        <v>136</v>
      </c>
      <c r="D24" s="6" t="s">
        <v>137</v>
      </c>
    </row>
    <row r="25" spans="1:4" ht="15.75" x14ac:dyDescent="0.25">
      <c r="A25" s="6">
        <v>595</v>
      </c>
      <c r="B25" s="6" t="s">
        <v>120</v>
      </c>
      <c r="C25" s="6" t="s">
        <v>138</v>
      </c>
      <c r="D25" s="6" t="s">
        <v>139</v>
      </c>
    </row>
    <row r="26" spans="1:4" ht="15.75" x14ac:dyDescent="0.25">
      <c r="A26" s="6">
        <v>684</v>
      </c>
      <c r="B26" s="6" t="s">
        <v>120</v>
      </c>
      <c r="C26" s="6" t="s">
        <v>138</v>
      </c>
      <c r="D26" s="6" t="s">
        <v>140</v>
      </c>
    </row>
    <row r="27" spans="1:4" ht="15.75" x14ac:dyDescent="0.25">
      <c r="A27" s="6">
        <v>180</v>
      </c>
      <c r="B27" s="6" t="s">
        <v>120</v>
      </c>
      <c r="C27" s="6" t="s">
        <v>138</v>
      </c>
      <c r="D27" s="6" t="s">
        <v>141</v>
      </c>
    </row>
    <row r="28" spans="1:4" ht="15.75" x14ac:dyDescent="0.25">
      <c r="A28" s="6">
        <v>595</v>
      </c>
      <c r="B28" s="6" t="s">
        <v>120</v>
      </c>
      <c r="C28" s="6" t="s">
        <v>138</v>
      </c>
      <c r="D28" s="6" t="s">
        <v>142</v>
      </c>
    </row>
    <row r="29" spans="1:4" ht="15.75" x14ac:dyDescent="0.25">
      <c r="A29" s="6">
        <v>441</v>
      </c>
      <c r="B29" s="6" t="s">
        <v>120</v>
      </c>
      <c r="C29" s="6" t="s">
        <v>143</v>
      </c>
      <c r="D29" s="6" t="s">
        <v>144</v>
      </c>
    </row>
    <row r="30" spans="1:4" ht="15.75" x14ac:dyDescent="0.25">
      <c r="A30" s="6">
        <v>551</v>
      </c>
      <c r="B30" s="6" t="s">
        <v>120</v>
      </c>
      <c r="C30" s="6" t="s">
        <v>145</v>
      </c>
      <c r="D30" s="6" t="s">
        <v>146</v>
      </c>
    </row>
    <row r="31" spans="1:4" ht="15.75" x14ac:dyDescent="0.25">
      <c r="A31" s="6">
        <v>569</v>
      </c>
      <c r="B31" s="6" t="s">
        <v>120</v>
      </c>
      <c r="C31" s="6" t="s">
        <v>147</v>
      </c>
      <c r="D31" s="6" t="s">
        <v>148</v>
      </c>
    </row>
    <row r="32" spans="1:4" ht="15.75" x14ac:dyDescent="0.25">
      <c r="A32" s="6">
        <v>6</v>
      </c>
      <c r="B32" s="6" t="s">
        <v>120</v>
      </c>
      <c r="C32" s="6" t="s">
        <v>149</v>
      </c>
      <c r="D32" s="6" t="s">
        <v>150</v>
      </c>
    </row>
    <row r="33" spans="1:4" ht="15.75" x14ac:dyDescent="0.25">
      <c r="A33" s="6">
        <v>617</v>
      </c>
      <c r="B33" s="6" t="s">
        <v>120</v>
      </c>
      <c r="C33" s="6" t="s">
        <v>151</v>
      </c>
      <c r="D33" s="6" t="s">
        <v>152</v>
      </c>
    </row>
    <row r="34" spans="1:4" ht="15.75" x14ac:dyDescent="0.25">
      <c r="A34" s="6">
        <v>332</v>
      </c>
      <c r="B34" s="6" t="s">
        <v>120</v>
      </c>
      <c r="C34" s="6" t="s">
        <v>153</v>
      </c>
      <c r="D34" s="6" t="s">
        <v>154</v>
      </c>
    </row>
    <row r="35" spans="1:4" ht="15.75" x14ac:dyDescent="0.25">
      <c r="A35" s="6">
        <v>440</v>
      </c>
      <c r="B35" s="6" t="s">
        <v>120</v>
      </c>
      <c r="C35" s="6" t="s">
        <v>155</v>
      </c>
      <c r="D35" s="6" t="s">
        <v>156</v>
      </c>
    </row>
    <row r="36" spans="1:4" ht="15.75" x14ac:dyDescent="0.25">
      <c r="A36" s="6">
        <v>477</v>
      </c>
      <c r="B36" s="6" t="s">
        <v>120</v>
      </c>
      <c r="C36" s="6" t="s">
        <v>155</v>
      </c>
      <c r="D36" s="6" t="s">
        <v>157</v>
      </c>
    </row>
    <row r="37" spans="1:4" ht="15.75" x14ac:dyDescent="0.25">
      <c r="A37" s="6">
        <v>68</v>
      </c>
      <c r="B37" s="6" t="s">
        <v>158</v>
      </c>
      <c r="C37" s="6" t="s">
        <v>159</v>
      </c>
      <c r="D37" s="6" t="s">
        <v>160</v>
      </c>
    </row>
    <row r="38" spans="1:4" ht="15.75" x14ac:dyDescent="0.25">
      <c r="A38" s="6">
        <v>969</v>
      </c>
      <c r="B38" s="6" t="s">
        <v>158</v>
      </c>
      <c r="C38" s="6" t="s">
        <v>159</v>
      </c>
      <c r="D38" s="6" t="s">
        <v>161</v>
      </c>
    </row>
    <row r="39" spans="1:4" ht="15.75" x14ac:dyDescent="0.25">
      <c r="A39" s="6">
        <v>113</v>
      </c>
      <c r="B39" s="6" t="s">
        <v>158</v>
      </c>
      <c r="C39" s="6" t="s">
        <v>162</v>
      </c>
      <c r="D39" s="6" t="s">
        <v>163</v>
      </c>
    </row>
    <row r="40" spans="1:4" ht="15.75" x14ac:dyDescent="0.25">
      <c r="A40" s="6">
        <v>12</v>
      </c>
      <c r="B40" s="6" t="s">
        <v>158</v>
      </c>
      <c r="C40" s="6" t="s">
        <v>162</v>
      </c>
      <c r="D40" s="6" t="s">
        <v>164</v>
      </c>
    </row>
    <row r="41" spans="1:4" ht="15.75" x14ac:dyDescent="0.25">
      <c r="A41" s="6">
        <v>488</v>
      </c>
      <c r="B41" s="6" t="s">
        <v>165</v>
      </c>
      <c r="C41" s="6" t="s">
        <v>166</v>
      </c>
      <c r="D41" s="6" t="s">
        <v>167</v>
      </c>
    </row>
    <row r="42" spans="1:4" ht="15.75" x14ac:dyDescent="0.25">
      <c r="A42" s="6">
        <v>35</v>
      </c>
      <c r="B42" s="6" t="s">
        <v>165</v>
      </c>
      <c r="C42" s="6" t="s">
        <v>166</v>
      </c>
      <c r="D42" s="6" t="s">
        <v>168</v>
      </c>
    </row>
    <row r="43" spans="1:4" ht="15.75" x14ac:dyDescent="0.25">
      <c r="A43" s="6">
        <v>90</v>
      </c>
      <c r="B43" s="6" t="s">
        <v>165</v>
      </c>
      <c r="C43" s="6" t="s">
        <v>166</v>
      </c>
      <c r="D43" s="6" t="s">
        <v>169</v>
      </c>
    </row>
    <row r="44" spans="1:4" ht="15.75" x14ac:dyDescent="0.25">
      <c r="A44" s="6">
        <v>606</v>
      </c>
      <c r="B44" s="6" t="s">
        <v>170</v>
      </c>
      <c r="C44" s="6" t="s">
        <v>171</v>
      </c>
      <c r="D44" s="6" t="s">
        <v>172</v>
      </c>
    </row>
    <row r="45" spans="1:4" ht="15.75" x14ac:dyDescent="0.25">
      <c r="A45" s="6">
        <v>915</v>
      </c>
      <c r="B45" s="6" t="s">
        <v>170</v>
      </c>
      <c r="C45" s="6" t="s">
        <v>173</v>
      </c>
      <c r="D45" s="6" t="s">
        <v>174</v>
      </c>
    </row>
    <row r="46" spans="1:4" ht="15.75" x14ac:dyDescent="0.25">
      <c r="A46" s="6">
        <v>756</v>
      </c>
      <c r="B46" s="6" t="s">
        <v>170</v>
      </c>
      <c r="C46" s="6" t="s">
        <v>175</v>
      </c>
      <c r="D46" s="6" t="s">
        <v>176</v>
      </c>
    </row>
    <row r="47" spans="1:4" ht="15.75" x14ac:dyDescent="0.25">
      <c r="A47" s="6">
        <v>1205</v>
      </c>
      <c r="B47" s="6" t="s">
        <v>170</v>
      </c>
      <c r="C47" s="6" t="s">
        <v>175</v>
      </c>
      <c r="D47" s="6" t="s">
        <v>177</v>
      </c>
    </row>
    <row r="48" spans="1:4" ht="15.75" x14ac:dyDescent="0.25">
      <c r="A48" s="6">
        <v>177</v>
      </c>
      <c r="B48" s="6" t="s">
        <v>170</v>
      </c>
      <c r="C48" s="6" t="s">
        <v>175</v>
      </c>
      <c r="D48" s="6" t="s">
        <v>178</v>
      </c>
    </row>
    <row r="49" spans="1:4" ht="15.75" x14ac:dyDescent="0.25">
      <c r="A49" s="6">
        <v>728</v>
      </c>
      <c r="B49" s="6" t="s">
        <v>170</v>
      </c>
      <c r="C49" s="6" t="s">
        <v>179</v>
      </c>
      <c r="D49" s="6" t="s">
        <v>180</v>
      </c>
    </row>
    <row r="50" spans="1:4" ht="15.75" x14ac:dyDescent="0.25">
      <c r="A50" s="6">
        <v>349</v>
      </c>
      <c r="B50" s="6" t="s">
        <v>170</v>
      </c>
      <c r="C50" s="6" t="s">
        <v>179</v>
      </c>
      <c r="D50" s="6" t="s">
        <v>181</v>
      </c>
    </row>
    <row r="51" spans="1:4" ht="15.75" x14ac:dyDescent="0.25">
      <c r="A51" s="6">
        <v>613</v>
      </c>
      <c r="B51" s="6" t="s">
        <v>182</v>
      </c>
      <c r="C51" s="6" t="s">
        <v>183</v>
      </c>
      <c r="D51" s="6" t="s">
        <v>184</v>
      </c>
    </row>
    <row r="52" spans="1:4" ht="15.75" x14ac:dyDescent="0.25">
      <c r="A52" s="6">
        <v>1579</v>
      </c>
      <c r="B52" s="6" t="s">
        <v>182</v>
      </c>
      <c r="C52" s="6" t="s">
        <v>185</v>
      </c>
      <c r="D52" s="6" t="s">
        <v>186</v>
      </c>
    </row>
    <row r="53" spans="1:4" ht="15.75" x14ac:dyDescent="0.25">
      <c r="A53" s="6">
        <v>508</v>
      </c>
      <c r="B53" s="6" t="s">
        <v>182</v>
      </c>
      <c r="C53" s="6" t="s">
        <v>185</v>
      </c>
      <c r="D53" s="6" t="s">
        <v>187</v>
      </c>
    </row>
    <row r="54" spans="1:4" ht="15.75" x14ac:dyDescent="0.25">
      <c r="A54" s="6">
        <v>1316</v>
      </c>
      <c r="B54" s="6" t="s">
        <v>182</v>
      </c>
      <c r="C54" s="6" t="s">
        <v>185</v>
      </c>
      <c r="D54" s="6"/>
    </row>
    <row r="55" spans="1:4" ht="15.75" x14ac:dyDescent="0.25">
      <c r="A55" s="6">
        <v>1531</v>
      </c>
      <c r="B55" s="6" t="s">
        <v>182</v>
      </c>
      <c r="C55" s="6" t="s">
        <v>185</v>
      </c>
      <c r="D55" s="6" t="s">
        <v>188</v>
      </c>
    </row>
    <row r="56" spans="1:4" ht="15.75" x14ac:dyDescent="0.25">
      <c r="A56" s="6">
        <v>1186</v>
      </c>
      <c r="B56" s="6" t="s">
        <v>189</v>
      </c>
      <c r="C56" s="6" t="s">
        <v>190</v>
      </c>
      <c r="D56" s="6" t="s">
        <v>191</v>
      </c>
    </row>
    <row r="57" spans="1:4" ht="15.75" x14ac:dyDescent="0.25">
      <c r="A57" s="6">
        <v>405</v>
      </c>
      <c r="B57" s="6" t="s">
        <v>192</v>
      </c>
      <c r="C57" s="6" t="s">
        <v>193</v>
      </c>
      <c r="D57" s="6" t="s">
        <v>194</v>
      </c>
    </row>
    <row r="58" spans="1:4" ht="15.75" x14ac:dyDescent="0.25">
      <c r="A58" s="6">
        <v>347</v>
      </c>
      <c r="B58" s="6" t="s">
        <v>192</v>
      </c>
      <c r="C58" s="6" t="s">
        <v>193</v>
      </c>
      <c r="D58" s="6" t="s">
        <v>195</v>
      </c>
    </row>
    <row r="59" spans="1:4" ht="15.75" x14ac:dyDescent="0.25">
      <c r="A59" s="6">
        <v>704</v>
      </c>
      <c r="B59" s="6" t="s">
        <v>192</v>
      </c>
      <c r="C59" s="6" t="s">
        <v>193</v>
      </c>
      <c r="D59" s="6" t="s">
        <v>196</v>
      </c>
    </row>
    <row r="60" spans="1:4" ht="15.75" x14ac:dyDescent="0.25">
      <c r="A60" s="6">
        <v>13</v>
      </c>
      <c r="B60" s="6" t="s">
        <v>192</v>
      </c>
      <c r="C60" s="6" t="s">
        <v>193</v>
      </c>
      <c r="D60" s="6" t="s">
        <v>197</v>
      </c>
    </row>
    <row r="61" spans="1:4" ht="15.75" x14ac:dyDescent="0.25">
      <c r="A61" s="6">
        <v>231</v>
      </c>
      <c r="B61" s="6" t="s">
        <v>192</v>
      </c>
      <c r="C61" s="6" t="s">
        <v>193</v>
      </c>
      <c r="D61" s="6" t="s">
        <v>198</v>
      </c>
    </row>
    <row r="62" spans="1:4" ht="15.75" x14ac:dyDescent="0.25">
      <c r="A62" s="6">
        <v>288</v>
      </c>
      <c r="B62" s="6" t="s">
        <v>192</v>
      </c>
      <c r="C62" s="6" t="s">
        <v>193</v>
      </c>
      <c r="D62" s="6" t="s">
        <v>199</v>
      </c>
    </row>
    <row r="63" spans="1:4" ht="15.75" x14ac:dyDescent="0.25">
      <c r="A63" s="6">
        <v>145</v>
      </c>
      <c r="B63" s="6" t="s">
        <v>192</v>
      </c>
      <c r="C63" s="6" t="s">
        <v>200</v>
      </c>
      <c r="D63" s="6" t="s">
        <v>201</v>
      </c>
    </row>
    <row r="64" spans="1:4" ht="15.75" x14ac:dyDescent="0.25">
      <c r="A64" s="6">
        <v>449</v>
      </c>
      <c r="B64" s="6" t="s">
        <v>202</v>
      </c>
      <c r="C64" s="6" t="s">
        <v>203</v>
      </c>
      <c r="D64" s="6" t="s">
        <v>204</v>
      </c>
    </row>
    <row r="65" spans="1:4" ht="15.75" x14ac:dyDescent="0.25">
      <c r="A65" s="6">
        <v>291</v>
      </c>
      <c r="B65" s="6" t="s">
        <v>202</v>
      </c>
      <c r="C65" s="6" t="s">
        <v>203</v>
      </c>
      <c r="D65" s="6" t="s">
        <v>205</v>
      </c>
    </row>
    <row r="66" spans="1:4" ht="15.75" x14ac:dyDescent="0.25">
      <c r="A66" s="6">
        <v>34</v>
      </c>
      <c r="B66" s="6" t="s">
        <v>206</v>
      </c>
      <c r="C66" s="6" t="s">
        <v>207</v>
      </c>
      <c r="D66" s="6" t="s">
        <v>208</v>
      </c>
    </row>
    <row r="67" spans="1:4" ht="15.75" x14ac:dyDescent="0.25">
      <c r="A67" s="6">
        <v>134</v>
      </c>
      <c r="B67" s="6" t="s">
        <v>206</v>
      </c>
      <c r="C67" s="6" t="s">
        <v>209</v>
      </c>
      <c r="D67" s="6" t="s">
        <v>210</v>
      </c>
    </row>
    <row r="68" spans="1:4" ht="15.75" x14ac:dyDescent="0.25">
      <c r="A68" s="6">
        <v>176</v>
      </c>
      <c r="B68" s="6" t="s">
        <v>206</v>
      </c>
      <c r="C68" s="6" t="s">
        <v>211</v>
      </c>
      <c r="D68" s="6" t="s">
        <v>212</v>
      </c>
    </row>
    <row r="69" spans="1:4" ht="15.75" x14ac:dyDescent="0.25">
      <c r="A69" s="6">
        <v>649</v>
      </c>
      <c r="B69" s="6" t="s">
        <v>206</v>
      </c>
      <c r="C69" s="6" t="s">
        <v>213</v>
      </c>
      <c r="D69" s="6" t="s">
        <v>214</v>
      </c>
    </row>
    <row r="70" spans="1:4" ht="15.75" x14ac:dyDescent="0.25">
      <c r="A70" s="6">
        <v>197</v>
      </c>
      <c r="B70" s="6" t="s">
        <v>206</v>
      </c>
      <c r="C70" s="6" t="s">
        <v>213</v>
      </c>
      <c r="D70" s="6" t="s">
        <v>215</v>
      </c>
    </row>
    <row r="71" spans="1:4" ht="15.75" x14ac:dyDescent="0.25">
      <c r="A71" s="6">
        <v>601</v>
      </c>
      <c r="B71" s="6" t="s">
        <v>206</v>
      </c>
      <c r="C71" s="6" t="s">
        <v>213</v>
      </c>
      <c r="D71" s="6" t="s">
        <v>216</v>
      </c>
    </row>
    <row r="72" spans="1:4" ht="15.75" x14ac:dyDescent="0.25">
      <c r="A72" s="6">
        <v>538</v>
      </c>
      <c r="B72" s="6" t="s">
        <v>206</v>
      </c>
      <c r="C72" s="6" t="s">
        <v>213</v>
      </c>
      <c r="D72" s="6" t="s">
        <v>217</v>
      </c>
    </row>
    <row r="73" spans="1:4" ht="15.75" x14ac:dyDescent="0.25">
      <c r="A73" s="6">
        <v>146</v>
      </c>
      <c r="B73" s="6" t="s">
        <v>206</v>
      </c>
      <c r="C73" s="6" t="s">
        <v>213</v>
      </c>
      <c r="D73" s="6" t="s">
        <v>218</v>
      </c>
    </row>
    <row r="74" spans="1:4" ht="15.75" x14ac:dyDescent="0.25">
      <c r="A74" s="6">
        <v>702</v>
      </c>
      <c r="B74" s="6" t="s">
        <v>206</v>
      </c>
      <c r="C74" s="6" t="s">
        <v>213</v>
      </c>
      <c r="D74" s="6" t="s">
        <v>219</v>
      </c>
    </row>
    <row r="75" spans="1:4" ht="15.75" x14ac:dyDescent="0.25">
      <c r="A75" s="6">
        <v>309</v>
      </c>
      <c r="B75" s="6" t="s">
        <v>206</v>
      </c>
      <c r="C75" s="6" t="s">
        <v>213</v>
      </c>
      <c r="D75" s="6" t="s">
        <v>220</v>
      </c>
    </row>
    <row r="76" spans="1:4" ht="15.75" x14ac:dyDescent="0.25">
      <c r="A76" s="6">
        <v>193</v>
      </c>
      <c r="B76" s="6" t="s">
        <v>206</v>
      </c>
      <c r="C76" s="6" t="s">
        <v>213</v>
      </c>
      <c r="D76" s="6" t="s">
        <v>221</v>
      </c>
    </row>
    <row r="77" spans="1:4" ht="15.75" x14ac:dyDescent="0.25">
      <c r="A77" s="6">
        <v>461</v>
      </c>
      <c r="B77" s="6" t="s">
        <v>206</v>
      </c>
      <c r="C77" s="6" t="s">
        <v>222</v>
      </c>
      <c r="D77" s="6" t="s">
        <v>223</v>
      </c>
    </row>
    <row r="78" spans="1:4" ht="15.75" x14ac:dyDescent="0.25">
      <c r="A78" s="6">
        <v>701</v>
      </c>
      <c r="B78" s="6" t="s">
        <v>206</v>
      </c>
      <c r="C78" s="6" t="s">
        <v>222</v>
      </c>
      <c r="D78" s="6" t="s">
        <v>224</v>
      </c>
    </row>
    <row r="79" spans="1:4" ht="15.75" x14ac:dyDescent="0.25">
      <c r="A79" s="6">
        <v>117</v>
      </c>
      <c r="B79" s="6" t="s">
        <v>206</v>
      </c>
      <c r="C79" s="6" t="s">
        <v>222</v>
      </c>
      <c r="D79" s="6" t="s">
        <v>225</v>
      </c>
    </row>
    <row r="80" spans="1:4" ht="15.75" x14ac:dyDescent="0.25">
      <c r="A80" s="6">
        <v>150</v>
      </c>
      <c r="B80" s="6" t="s">
        <v>206</v>
      </c>
      <c r="C80" s="6" t="s">
        <v>222</v>
      </c>
      <c r="D80" s="6" t="s">
        <v>226</v>
      </c>
    </row>
    <row r="81" spans="1:4" ht="15.75" x14ac:dyDescent="0.25">
      <c r="A81" s="6">
        <v>364</v>
      </c>
      <c r="B81" s="6" t="s">
        <v>206</v>
      </c>
      <c r="C81" s="6" t="s">
        <v>227</v>
      </c>
      <c r="D81" s="6" t="s">
        <v>228</v>
      </c>
    </row>
    <row r="82" spans="1:4" ht="15.75" x14ac:dyDescent="0.25">
      <c r="A82" s="6">
        <v>305</v>
      </c>
      <c r="B82" s="6" t="s">
        <v>229</v>
      </c>
      <c r="C82" s="6" t="s">
        <v>230</v>
      </c>
      <c r="D82" s="6" t="s">
        <v>231</v>
      </c>
    </row>
    <row r="83" spans="1:4" ht="15.75" x14ac:dyDescent="0.25">
      <c r="A83" s="6">
        <v>481</v>
      </c>
      <c r="B83" s="6" t="s">
        <v>229</v>
      </c>
      <c r="C83" s="6" t="s">
        <v>230</v>
      </c>
      <c r="D83" s="6" t="s">
        <v>232</v>
      </c>
    </row>
    <row r="84" spans="1:4" ht="15.75" x14ac:dyDescent="0.25">
      <c r="A84" s="6">
        <v>873</v>
      </c>
      <c r="B84" s="6" t="s">
        <v>229</v>
      </c>
      <c r="C84" s="6" t="s">
        <v>230</v>
      </c>
      <c r="D84" s="6" t="s">
        <v>233</v>
      </c>
    </row>
    <row r="85" spans="1:4" ht="15.75" x14ac:dyDescent="0.25">
      <c r="A85" s="6">
        <v>668</v>
      </c>
      <c r="B85" s="6" t="s">
        <v>229</v>
      </c>
      <c r="C85" s="6" t="s">
        <v>230</v>
      </c>
      <c r="D85" s="6" t="s">
        <v>234</v>
      </c>
    </row>
    <row r="86" spans="1:4" ht="15.75" x14ac:dyDescent="0.25">
      <c r="A86" s="6">
        <v>855</v>
      </c>
      <c r="B86" s="6" t="s">
        <v>229</v>
      </c>
      <c r="C86" s="6" t="s">
        <v>230</v>
      </c>
      <c r="D86" s="6" t="s">
        <v>235</v>
      </c>
    </row>
    <row r="87" spans="1:4" ht="15.75" x14ac:dyDescent="0.25">
      <c r="A87" s="6">
        <v>725</v>
      </c>
      <c r="B87" s="6" t="s">
        <v>229</v>
      </c>
      <c r="C87" s="6" t="s">
        <v>230</v>
      </c>
      <c r="D87" s="6" t="s">
        <v>236</v>
      </c>
    </row>
    <row r="88" spans="1:4" ht="15.75" x14ac:dyDescent="0.25">
      <c r="A88" s="6">
        <v>697</v>
      </c>
      <c r="B88" s="6" t="s">
        <v>229</v>
      </c>
      <c r="C88" s="6" t="s">
        <v>237</v>
      </c>
      <c r="D88" s="6" t="s">
        <v>238</v>
      </c>
    </row>
    <row r="89" spans="1:4" ht="15.75" x14ac:dyDescent="0.25">
      <c r="A89" s="6">
        <v>531</v>
      </c>
      <c r="B89" s="6" t="s">
        <v>229</v>
      </c>
      <c r="C89" s="6" t="s">
        <v>237</v>
      </c>
      <c r="D89" s="6" t="s">
        <v>239</v>
      </c>
    </row>
    <row r="90" spans="1:4" ht="15.75" x14ac:dyDescent="0.25">
      <c r="A90" s="6">
        <v>153</v>
      </c>
      <c r="B90" s="6" t="s">
        <v>229</v>
      </c>
      <c r="C90" s="6" t="s">
        <v>237</v>
      </c>
      <c r="D90" s="6" t="s">
        <v>240</v>
      </c>
    </row>
    <row r="91" spans="1:4" ht="15.75" x14ac:dyDescent="0.25">
      <c r="A91" s="6">
        <v>16</v>
      </c>
      <c r="B91" s="6" t="s">
        <v>229</v>
      </c>
      <c r="C91" s="6" t="s">
        <v>241</v>
      </c>
      <c r="D91" s="6" t="s">
        <v>242</v>
      </c>
    </row>
    <row r="92" spans="1:4" ht="15.75" x14ac:dyDescent="0.25">
      <c r="A92" s="6">
        <v>1701</v>
      </c>
      <c r="B92" s="6" t="s">
        <v>229</v>
      </c>
      <c r="C92" s="6" t="s">
        <v>241</v>
      </c>
      <c r="D92" s="6" t="s">
        <v>243</v>
      </c>
    </row>
    <row r="93" spans="1:4" ht="15.75" x14ac:dyDescent="0.25">
      <c r="A93" s="6">
        <v>816</v>
      </c>
      <c r="B93" s="6" t="s">
        <v>229</v>
      </c>
      <c r="C93" s="6" t="s">
        <v>241</v>
      </c>
      <c r="D93" s="6" t="s">
        <v>244</v>
      </c>
    </row>
    <row r="94" spans="1:4" ht="15.75" x14ac:dyDescent="0.25">
      <c r="A94" s="6">
        <v>661</v>
      </c>
      <c r="B94" s="6" t="s">
        <v>245</v>
      </c>
      <c r="C94" s="6" t="s">
        <v>246</v>
      </c>
      <c r="D94" s="6" t="s">
        <v>247</v>
      </c>
    </row>
    <row r="95" spans="1:4" ht="15.75" x14ac:dyDescent="0.25">
      <c r="A95" s="6">
        <v>226</v>
      </c>
      <c r="B95" s="6" t="s">
        <v>245</v>
      </c>
      <c r="C95" s="6" t="s">
        <v>246</v>
      </c>
      <c r="D95" s="6" t="s">
        <v>248</v>
      </c>
    </row>
    <row r="96" spans="1:4" ht="15.75" x14ac:dyDescent="0.25">
      <c r="A96" s="6">
        <v>271</v>
      </c>
      <c r="B96" s="6" t="s">
        <v>245</v>
      </c>
      <c r="C96" s="6" t="s">
        <v>246</v>
      </c>
      <c r="D96" s="6" t="s">
        <v>249</v>
      </c>
    </row>
    <row r="97" spans="1:4" ht="15.75" x14ac:dyDescent="0.25">
      <c r="A97" s="6">
        <v>369</v>
      </c>
      <c r="B97" s="6" t="s">
        <v>250</v>
      </c>
      <c r="C97" s="6" t="s">
        <v>251</v>
      </c>
      <c r="D97" s="6" t="s">
        <v>252</v>
      </c>
    </row>
    <row r="98" spans="1:4" ht="15.75" x14ac:dyDescent="0.25">
      <c r="A98" s="6">
        <v>995</v>
      </c>
      <c r="B98" s="6" t="s">
        <v>253</v>
      </c>
      <c r="C98" s="6" t="s">
        <v>254</v>
      </c>
      <c r="D98" s="6" t="s">
        <v>255</v>
      </c>
    </row>
    <row r="99" spans="1:4" ht="15.75" x14ac:dyDescent="0.25">
      <c r="A99" s="6">
        <v>446</v>
      </c>
      <c r="B99" s="6" t="s">
        <v>253</v>
      </c>
      <c r="C99" s="6" t="s">
        <v>256</v>
      </c>
      <c r="D99" s="6" t="s">
        <v>257</v>
      </c>
    </row>
    <row r="100" spans="1:4" ht="15.75" x14ac:dyDescent="0.25">
      <c r="A100" s="6">
        <v>576</v>
      </c>
      <c r="B100" s="6" t="s">
        <v>253</v>
      </c>
      <c r="C100" s="6" t="s">
        <v>258</v>
      </c>
      <c r="D100" s="6" t="s">
        <v>259</v>
      </c>
    </row>
    <row r="101" spans="1:4" ht="15.75" x14ac:dyDescent="0.25">
      <c r="A101" s="6">
        <v>194</v>
      </c>
      <c r="B101" s="6" t="s">
        <v>253</v>
      </c>
      <c r="C101" s="6" t="s">
        <v>258</v>
      </c>
      <c r="D101" s="6" t="s">
        <v>260</v>
      </c>
    </row>
    <row r="102" spans="1:4" ht="15.75" x14ac:dyDescent="0.25">
      <c r="A102" s="6">
        <v>1077</v>
      </c>
      <c r="B102" s="6" t="s">
        <v>253</v>
      </c>
      <c r="C102" s="6" t="s">
        <v>261</v>
      </c>
      <c r="D102" s="6" t="s">
        <v>262</v>
      </c>
    </row>
    <row r="103" spans="1:4" ht="15.75" x14ac:dyDescent="0.25">
      <c r="A103" s="6">
        <v>130</v>
      </c>
      <c r="B103" s="6" t="s">
        <v>253</v>
      </c>
      <c r="C103" s="6" t="s">
        <v>261</v>
      </c>
      <c r="D103" s="6" t="s">
        <v>263</v>
      </c>
    </row>
    <row r="104" spans="1:4" ht="15.75" x14ac:dyDescent="0.25">
      <c r="A104" s="6">
        <v>861</v>
      </c>
      <c r="B104" s="6" t="s">
        <v>253</v>
      </c>
      <c r="C104" s="6" t="s">
        <v>264</v>
      </c>
      <c r="D104" s="6" t="s">
        <v>265</v>
      </c>
    </row>
    <row r="105" spans="1:4" ht="15.75" x14ac:dyDescent="0.25">
      <c r="A105" s="6">
        <v>103</v>
      </c>
      <c r="B105" s="6" t="s">
        <v>266</v>
      </c>
      <c r="C105" s="6" t="s">
        <v>267</v>
      </c>
      <c r="D105" s="6" t="s">
        <v>268</v>
      </c>
    </row>
    <row r="106" spans="1:4" ht="15.75" x14ac:dyDescent="0.25">
      <c r="A106" s="6">
        <v>1257</v>
      </c>
      <c r="B106" s="6" t="s">
        <v>266</v>
      </c>
      <c r="C106" s="6" t="s">
        <v>267</v>
      </c>
      <c r="D106" s="6"/>
    </row>
    <row r="107" spans="1:4" ht="15.75" x14ac:dyDescent="0.25">
      <c r="A107" s="6">
        <v>567</v>
      </c>
      <c r="B107" s="6" t="s">
        <v>266</v>
      </c>
      <c r="C107" s="6" t="s">
        <v>267</v>
      </c>
      <c r="D107" s="6" t="s">
        <v>269</v>
      </c>
    </row>
    <row r="108" spans="1:4" ht="15.75" x14ac:dyDescent="0.25">
      <c r="A108" s="6">
        <v>490</v>
      </c>
      <c r="B108" s="6" t="s">
        <v>266</v>
      </c>
      <c r="C108" s="6" t="s">
        <v>267</v>
      </c>
      <c r="D108" s="6" t="s">
        <v>270</v>
      </c>
    </row>
    <row r="109" spans="1:4" ht="15.75" x14ac:dyDescent="0.25">
      <c r="A109" s="6">
        <v>96</v>
      </c>
      <c r="B109" s="6" t="s">
        <v>266</v>
      </c>
      <c r="C109" s="6" t="s">
        <v>271</v>
      </c>
      <c r="D109" s="6" t="s">
        <v>272</v>
      </c>
    </row>
    <row r="110" spans="1:4" ht="15.75" x14ac:dyDescent="0.25">
      <c r="A110" s="6">
        <v>7</v>
      </c>
      <c r="B110" s="6" t="s">
        <v>266</v>
      </c>
      <c r="C110" s="6" t="s">
        <v>273</v>
      </c>
      <c r="D110" s="6" t="s">
        <v>274</v>
      </c>
    </row>
    <row r="111" spans="1:4" ht="15.75" x14ac:dyDescent="0.25">
      <c r="A111" s="6">
        <v>24</v>
      </c>
      <c r="B111" s="6" t="s">
        <v>275</v>
      </c>
      <c r="C111" s="6" t="s">
        <v>276</v>
      </c>
      <c r="D111" s="6" t="s">
        <v>277</v>
      </c>
    </row>
    <row r="112" spans="1:4" ht="15.75" x14ac:dyDescent="0.25">
      <c r="A112" s="6">
        <v>307</v>
      </c>
      <c r="B112" s="6" t="s">
        <v>275</v>
      </c>
      <c r="C112" s="6" t="s">
        <v>276</v>
      </c>
      <c r="D112" s="6" t="s">
        <v>278</v>
      </c>
    </row>
    <row r="113" spans="1:4" ht="15.75" x14ac:dyDescent="0.25">
      <c r="A113" s="6">
        <v>445</v>
      </c>
      <c r="B113" s="6" t="s">
        <v>279</v>
      </c>
      <c r="C113" s="6" t="s">
        <v>280</v>
      </c>
      <c r="D113" s="6" t="s">
        <v>281</v>
      </c>
    </row>
    <row r="114" spans="1:4" ht="15.75" x14ac:dyDescent="0.25">
      <c r="A114" s="6">
        <v>692</v>
      </c>
      <c r="B114" s="6" t="s">
        <v>279</v>
      </c>
      <c r="C114" s="6" t="s">
        <v>280</v>
      </c>
      <c r="D114" s="6" t="s">
        <v>282</v>
      </c>
    </row>
    <row r="115" spans="1:4" ht="15.75" x14ac:dyDescent="0.25">
      <c r="A115" s="6">
        <v>948</v>
      </c>
      <c r="B115" s="6" t="s">
        <v>279</v>
      </c>
      <c r="C115" s="6" t="s">
        <v>280</v>
      </c>
      <c r="D115" s="6" t="s">
        <v>283</v>
      </c>
    </row>
    <row r="116" spans="1:4" ht="15.75" x14ac:dyDescent="0.25">
      <c r="A116" s="6">
        <v>131</v>
      </c>
      <c r="B116" s="6" t="s">
        <v>279</v>
      </c>
      <c r="C116" s="6" t="s">
        <v>280</v>
      </c>
      <c r="D116" s="6" t="s">
        <v>284</v>
      </c>
    </row>
    <row r="117" spans="1:4" ht="15.75" x14ac:dyDescent="0.25">
      <c r="A117" s="6">
        <v>665</v>
      </c>
      <c r="B117" s="6" t="s">
        <v>279</v>
      </c>
      <c r="C117" s="6" t="s">
        <v>280</v>
      </c>
      <c r="D117" s="6" t="s">
        <v>285</v>
      </c>
    </row>
    <row r="118" spans="1:4" ht="15.75" x14ac:dyDescent="0.25">
      <c r="A118" s="6">
        <v>557</v>
      </c>
      <c r="B118" s="6" t="s">
        <v>279</v>
      </c>
      <c r="C118" s="6" t="s">
        <v>280</v>
      </c>
      <c r="D118" s="6" t="s">
        <v>286</v>
      </c>
    </row>
    <row r="119" spans="1:4" ht="15.75" x14ac:dyDescent="0.25">
      <c r="A119" s="6">
        <v>252</v>
      </c>
      <c r="B119" s="6" t="s">
        <v>279</v>
      </c>
      <c r="C119" s="6" t="s">
        <v>280</v>
      </c>
      <c r="D119" s="6" t="s">
        <v>287</v>
      </c>
    </row>
    <row r="120" spans="1:4" ht="15.75" x14ac:dyDescent="0.25">
      <c r="A120" s="6">
        <v>498</v>
      </c>
      <c r="B120" s="6" t="s">
        <v>279</v>
      </c>
      <c r="C120" s="6" t="s">
        <v>280</v>
      </c>
      <c r="D120" s="6" t="s">
        <v>288</v>
      </c>
    </row>
    <row r="121" spans="1:4" ht="15.75" x14ac:dyDescent="0.25">
      <c r="A121" s="6">
        <v>906</v>
      </c>
      <c r="B121" s="6" t="s">
        <v>279</v>
      </c>
      <c r="C121" s="6" t="s">
        <v>280</v>
      </c>
      <c r="D121" s="6" t="s">
        <v>289</v>
      </c>
    </row>
    <row r="122" spans="1:4" ht="15.75" x14ac:dyDescent="0.25">
      <c r="A122" s="6">
        <v>275</v>
      </c>
      <c r="B122" s="6" t="s">
        <v>279</v>
      </c>
      <c r="C122" s="6" t="s">
        <v>280</v>
      </c>
      <c r="D122" s="6" t="s">
        <v>290</v>
      </c>
    </row>
    <row r="123" spans="1:4" ht="15.75" x14ac:dyDescent="0.25">
      <c r="A123" s="6">
        <v>58</v>
      </c>
      <c r="B123" s="6" t="s">
        <v>279</v>
      </c>
      <c r="C123" s="6" t="s">
        <v>291</v>
      </c>
      <c r="D123" s="6" t="s">
        <v>292</v>
      </c>
    </row>
    <row r="124" spans="1:4" ht="15.75" x14ac:dyDescent="0.25">
      <c r="A124" s="6">
        <v>292</v>
      </c>
      <c r="B124" s="6" t="s">
        <v>293</v>
      </c>
      <c r="C124" s="6" t="s">
        <v>294</v>
      </c>
      <c r="D124" s="6" t="s">
        <v>295</v>
      </c>
    </row>
    <row r="125" spans="1:4" ht="15.75" x14ac:dyDescent="0.25">
      <c r="A125" s="6">
        <v>343</v>
      </c>
      <c r="B125" s="6" t="s">
        <v>293</v>
      </c>
      <c r="C125" s="6" t="s">
        <v>294</v>
      </c>
      <c r="D125" s="6" t="s">
        <v>296</v>
      </c>
    </row>
    <row r="126" spans="1:4" ht="15.75" x14ac:dyDescent="0.25">
      <c r="A126" s="6">
        <v>110</v>
      </c>
      <c r="B126" s="6" t="s">
        <v>293</v>
      </c>
      <c r="C126" s="6" t="s">
        <v>297</v>
      </c>
      <c r="D126" s="6" t="s">
        <v>298</v>
      </c>
    </row>
    <row r="127" spans="1:4" ht="15.75" x14ac:dyDescent="0.25">
      <c r="A127" s="6">
        <v>242</v>
      </c>
      <c r="B127" s="6" t="s">
        <v>293</v>
      </c>
      <c r="C127" s="6" t="s">
        <v>299</v>
      </c>
      <c r="D127" s="6" t="s">
        <v>300</v>
      </c>
    </row>
    <row r="128" spans="1:4" ht="15.75" x14ac:dyDescent="0.25">
      <c r="A128" s="6">
        <v>294</v>
      </c>
      <c r="B128" s="6" t="s">
        <v>293</v>
      </c>
      <c r="C128" s="6" t="s">
        <v>299</v>
      </c>
      <c r="D128" s="6" t="s">
        <v>301</v>
      </c>
    </row>
    <row r="129" spans="1:4" ht="15.75" x14ac:dyDescent="0.25">
      <c r="A129" s="6">
        <v>95</v>
      </c>
      <c r="B129" s="6" t="s">
        <v>302</v>
      </c>
      <c r="C129" s="6" t="s">
        <v>303</v>
      </c>
      <c r="D129" s="6" t="s">
        <v>304</v>
      </c>
    </row>
    <row r="130" spans="1:4" ht="15.75" x14ac:dyDescent="0.25">
      <c r="A130" s="6">
        <v>124</v>
      </c>
      <c r="B130" s="6" t="s">
        <v>302</v>
      </c>
      <c r="C130" s="6" t="s">
        <v>303</v>
      </c>
      <c r="D130" s="6" t="s">
        <v>305</v>
      </c>
    </row>
    <row r="131" spans="1:4" ht="15.75" x14ac:dyDescent="0.25">
      <c r="A131" s="6">
        <v>453</v>
      </c>
      <c r="B131" s="6" t="s">
        <v>302</v>
      </c>
      <c r="C131" s="6" t="s">
        <v>303</v>
      </c>
      <c r="D131" s="6" t="s">
        <v>306</v>
      </c>
    </row>
    <row r="132" spans="1:4" ht="15.75" x14ac:dyDescent="0.25">
      <c r="A132" s="6">
        <v>545</v>
      </c>
      <c r="B132" s="6" t="s">
        <v>302</v>
      </c>
      <c r="C132" s="6" t="s">
        <v>303</v>
      </c>
      <c r="D132" s="6" t="s">
        <v>307</v>
      </c>
    </row>
    <row r="133" spans="1:4" ht="15.75" x14ac:dyDescent="0.25">
      <c r="A133" s="6">
        <v>257</v>
      </c>
      <c r="B133" s="6" t="s">
        <v>302</v>
      </c>
      <c r="C133" s="6" t="s">
        <v>308</v>
      </c>
      <c r="D133" s="6" t="s">
        <v>309</v>
      </c>
    </row>
    <row r="134" spans="1:4" ht="15.75" x14ac:dyDescent="0.25">
      <c r="A134" s="6">
        <v>350</v>
      </c>
      <c r="B134" s="6" t="s">
        <v>302</v>
      </c>
      <c r="C134" s="6" t="s">
        <v>308</v>
      </c>
      <c r="D134" s="6"/>
    </row>
    <row r="135" spans="1:4" ht="15.75" x14ac:dyDescent="0.25">
      <c r="A135" s="6">
        <v>1</v>
      </c>
      <c r="B135" s="6" t="s">
        <v>302</v>
      </c>
      <c r="C135" s="6" t="s">
        <v>308</v>
      </c>
      <c r="D135" s="6" t="s">
        <v>310</v>
      </c>
    </row>
    <row r="136" spans="1:4" ht="15.75" x14ac:dyDescent="0.25">
      <c r="A136" s="6">
        <v>480</v>
      </c>
      <c r="B136" s="6" t="s">
        <v>311</v>
      </c>
      <c r="C136" s="6" t="s">
        <v>312</v>
      </c>
      <c r="D136" s="6" t="s">
        <v>313</v>
      </c>
    </row>
    <row r="137" spans="1:4" ht="15.75" x14ac:dyDescent="0.25">
      <c r="A137" s="6">
        <v>917</v>
      </c>
      <c r="B137" s="6" t="s">
        <v>311</v>
      </c>
      <c r="C137" s="6" t="s">
        <v>312</v>
      </c>
      <c r="D137" s="6" t="s">
        <v>314</v>
      </c>
    </row>
    <row r="138" spans="1:4" ht="15.75" x14ac:dyDescent="0.25">
      <c r="A138" s="6">
        <v>532</v>
      </c>
      <c r="B138" s="6" t="s">
        <v>315</v>
      </c>
      <c r="C138" s="6" t="s">
        <v>316</v>
      </c>
      <c r="D138" s="6" t="s">
        <v>317</v>
      </c>
    </row>
    <row r="139" spans="1:4" ht="15.75" x14ac:dyDescent="0.25">
      <c r="A139" s="6">
        <v>233</v>
      </c>
      <c r="B139" s="6" t="s">
        <v>315</v>
      </c>
      <c r="C139" s="6" t="s">
        <v>316</v>
      </c>
      <c r="D139" s="6" t="s">
        <v>318</v>
      </c>
    </row>
    <row r="140" spans="1:4" ht="15.75" x14ac:dyDescent="0.25">
      <c r="A140" s="6">
        <v>768</v>
      </c>
      <c r="B140" s="6" t="s">
        <v>315</v>
      </c>
      <c r="C140" s="6" t="s">
        <v>316</v>
      </c>
      <c r="D140" s="6" t="s">
        <v>319</v>
      </c>
    </row>
    <row r="141" spans="1:4" ht="15.75" x14ac:dyDescent="0.25">
      <c r="A141" s="6">
        <v>714</v>
      </c>
      <c r="B141" s="6" t="s">
        <v>320</v>
      </c>
      <c r="C141" s="6" t="s">
        <v>321</v>
      </c>
      <c r="D141" s="6" t="s">
        <v>322</v>
      </c>
    </row>
    <row r="142" spans="1:4" ht="15.75" x14ac:dyDescent="0.25">
      <c r="A142" s="6">
        <v>1426</v>
      </c>
      <c r="B142" s="6" t="s">
        <v>320</v>
      </c>
      <c r="C142" s="6" t="s">
        <v>321</v>
      </c>
      <c r="D142" s="6" t="s">
        <v>323</v>
      </c>
    </row>
    <row r="143" spans="1:4" ht="15.75" x14ac:dyDescent="0.25">
      <c r="A143" s="6">
        <v>1250</v>
      </c>
      <c r="B143" s="6" t="s">
        <v>320</v>
      </c>
      <c r="C143" s="6" t="s">
        <v>321</v>
      </c>
      <c r="D143" s="6" t="s">
        <v>324</v>
      </c>
    </row>
    <row r="144" spans="1:4" ht="15.75" x14ac:dyDescent="0.25">
      <c r="A144" s="6">
        <v>426</v>
      </c>
      <c r="B144" s="6" t="s">
        <v>320</v>
      </c>
      <c r="C144" s="6" t="s">
        <v>321</v>
      </c>
      <c r="D144" s="6" t="s">
        <v>325</v>
      </c>
    </row>
    <row r="145" spans="1:4" ht="15.75" x14ac:dyDescent="0.25">
      <c r="A145" s="6">
        <v>265</v>
      </c>
      <c r="B145" s="6" t="s">
        <v>326</v>
      </c>
      <c r="C145" s="6" t="s">
        <v>327</v>
      </c>
      <c r="D145" s="6" t="s">
        <v>328</v>
      </c>
    </row>
    <row r="146" spans="1:4" ht="15.75" x14ac:dyDescent="0.25">
      <c r="A146" s="6">
        <v>22</v>
      </c>
      <c r="B146" s="6" t="s">
        <v>326</v>
      </c>
      <c r="C146" s="6" t="s">
        <v>327</v>
      </c>
      <c r="D146" s="6" t="s">
        <v>329</v>
      </c>
    </row>
    <row r="147" spans="1:4" ht="15.75" x14ac:dyDescent="0.25">
      <c r="A147" s="6">
        <v>102</v>
      </c>
      <c r="B147" s="6" t="s">
        <v>330</v>
      </c>
      <c r="C147" s="6" t="s">
        <v>331</v>
      </c>
      <c r="D147" s="6" t="s">
        <v>332</v>
      </c>
    </row>
    <row r="148" spans="1:4" ht="15.75" x14ac:dyDescent="0.25">
      <c r="A148" s="6">
        <v>164</v>
      </c>
      <c r="B148" s="6" t="s">
        <v>330</v>
      </c>
      <c r="C148" s="6" t="s">
        <v>331</v>
      </c>
      <c r="D148" s="6" t="s">
        <v>333</v>
      </c>
    </row>
    <row r="149" spans="1:4" ht="15.75" x14ac:dyDescent="0.25">
      <c r="A149" s="6">
        <v>456</v>
      </c>
      <c r="B149" s="6" t="s">
        <v>330</v>
      </c>
      <c r="C149" s="6" t="s">
        <v>331</v>
      </c>
      <c r="D149" s="6" t="s">
        <v>334</v>
      </c>
    </row>
    <row r="150" spans="1:4" ht="15.75" x14ac:dyDescent="0.25">
      <c r="A150" s="6">
        <v>400</v>
      </c>
      <c r="B150" s="6" t="s">
        <v>330</v>
      </c>
      <c r="C150" s="6" t="s">
        <v>331</v>
      </c>
      <c r="D150" s="6" t="s">
        <v>335</v>
      </c>
    </row>
    <row r="151" spans="1:4" ht="15.75" x14ac:dyDescent="0.25">
      <c r="A151" s="6">
        <v>351</v>
      </c>
      <c r="B151" s="6" t="s">
        <v>330</v>
      </c>
      <c r="C151" s="6" t="s">
        <v>336</v>
      </c>
      <c r="D151" s="6" t="s">
        <v>337</v>
      </c>
    </row>
    <row r="152" spans="1:4" ht="15.75" x14ac:dyDescent="0.25">
      <c r="A152" s="6">
        <v>269</v>
      </c>
      <c r="B152" s="6" t="s">
        <v>330</v>
      </c>
      <c r="C152" s="6" t="s">
        <v>336</v>
      </c>
      <c r="D152" s="6" t="s">
        <v>338</v>
      </c>
    </row>
    <row r="153" spans="1:4" ht="15.75" x14ac:dyDescent="0.25">
      <c r="A153" s="6">
        <v>611</v>
      </c>
      <c r="B153" s="6" t="s">
        <v>339</v>
      </c>
      <c r="C153" s="6" t="s">
        <v>340</v>
      </c>
      <c r="D153" s="6" t="s">
        <v>341</v>
      </c>
    </row>
    <row r="154" spans="1:4" ht="15.75" x14ac:dyDescent="0.25">
      <c r="A154" s="6">
        <v>357</v>
      </c>
      <c r="B154" s="6" t="s">
        <v>342</v>
      </c>
      <c r="C154" s="6" t="s">
        <v>343</v>
      </c>
      <c r="D154" s="6" t="s">
        <v>344</v>
      </c>
    </row>
    <row r="155" spans="1:4" ht="15.75" x14ac:dyDescent="0.25">
      <c r="A155" s="6">
        <v>236</v>
      </c>
      <c r="B155" s="6" t="s">
        <v>345</v>
      </c>
      <c r="C155" s="6" t="s">
        <v>346</v>
      </c>
      <c r="D155" s="6" t="s">
        <v>347</v>
      </c>
    </row>
    <row r="156" spans="1:4" ht="15.75" x14ac:dyDescent="0.25">
      <c r="A156" s="6">
        <v>724</v>
      </c>
      <c r="B156" s="6" t="s">
        <v>345</v>
      </c>
      <c r="C156" s="6" t="s">
        <v>346</v>
      </c>
      <c r="D156" s="6" t="s">
        <v>348</v>
      </c>
    </row>
    <row r="157" spans="1:4" ht="15.75" x14ac:dyDescent="0.25">
      <c r="A157" s="6">
        <v>840</v>
      </c>
      <c r="B157" s="6" t="s">
        <v>345</v>
      </c>
      <c r="C157" s="6" t="s">
        <v>349</v>
      </c>
      <c r="D157" s="6" t="s">
        <v>350</v>
      </c>
    </row>
    <row r="158" spans="1:4" ht="15.75" x14ac:dyDescent="0.25">
      <c r="A158" s="6">
        <v>43</v>
      </c>
      <c r="B158" s="6" t="s">
        <v>345</v>
      </c>
      <c r="C158" s="6" t="s">
        <v>349</v>
      </c>
      <c r="D158" s="6" t="s">
        <v>351</v>
      </c>
    </row>
    <row r="159" spans="1:4" ht="15.75" x14ac:dyDescent="0.25">
      <c r="A159" s="6">
        <v>363</v>
      </c>
      <c r="B159" s="6" t="s">
        <v>345</v>
      </c>
      <c r="C159" s="6" t="s">
        <v>352</v>
      </c>
      <c r="D159" s="6" t="s">
        <v>353</v>
      </c>
    </row>
    <row r="160" spans="1:4" ht="15.75" x14ac:dyDescent="0.25">
      <c r="A160" s="6">
        <v>25</v>
      </c>
      <c r="B160" s="6" t="s">
        <v>345</v>
      </c>
      <c r="C160" s="6" t="s">
        <v>354</v>
      </c>
      <c r="D160" s="6" t="s">
        <v>355</v>
      </c>
    </row>
    <row r="161" spans="1:4" ht="15.75" x14ac:dyDescent="0.25">
      <c r="A161" s="6">
        <v>3</v>
      </c>
      <c r="B161" s="6" t="s">
        <v>345</v>
      </c>
      <c r="C161" s="6" t="s">
        <v>356</v>
      </c>
      <c r="D161" s="6" t="s">
        <v>357</v>
      </c>
    </row>
    <row r="162" spans="1:4" ht="15.75" x14ac:dyDescent="0.25">
      <c r="A162" s="6">
        <v>910</v>
      </c>
      <c r="B162" s="6" t="s">
        <v>345</v>
      </c>
      <c r="C162" s="6" t="s">
        <v>358</v>
      </c>
      <c r="D162" s="6" t="s">
        <v>359</v>
      </c>
    </row>
    <row r="163" spans="1:4" ht="15.75" x14ac:dyDescent="0.25">
      <c r="A163" s="6">
        <v>86</v>
      </c>
      <c r="B163" s="6" t="s">
        <v>345</v>
      </c>
      <c r="C163" s="6" t="s">
        <v>360</v>
      </c>
      <c r="D163" s="6" t="s">
        <v>361</v>
      </c>
    </row>
    <row r="164" spans="1:4" ht="15.75" x14ac:dyDescent="0.25">
      <c r="A164" s="6">
        <v>325</v>
      </c>
      <c r="B164" s="6" t="s">
        <v>345</v>
      </c>
      <c r="C164" s="6" t="s">
        <v>362</v>
      </c>
      <c r="D164" s="6" t="s">
        <v>363</v>
      </c>
    </row>
    <row r="165" spans="1:4" ht="15.75" x14ac:dyDescent="0.25">
      <c r="A165" s="6">
        <v>139</v>
      </c>
      <c r="B165" s="6" t="s">
        <v>345</v>
      </c>
      <c r="C165" s="6" t="s">
        <v>362</v>
      </c>
      <c r="D165" s="6" t="s">
        <v>364</v>
      </c>
    </row>
    <row r="166" spans="1:4" ht="15.75" x14ac:dyDescent="0.25">
      <c r="A166" s="6">
        <v>241</v>
      </c>
      <c r="B166" s="6" t="s">
        <v>345</v>
      </c>
      <c r="C166" s="6" t="s">
        <v>362</v>
      </c>
      <c r="D166" s="6" t="s">
        <v>365</v>
      </c>
    </row>
    <row r="167" spans="1:4" ht="15.75" x14ac:dyDescent="0.25">
      <c r="A167" s="6">
        <v>41</v>
      </c>
      <c r="B167" s="6" t="s">
        <v>345</v>
      </c>
      <c r="C167" s="6" t="s">
        <v>366</v>
      </c>
      <c r="D167" s="6" t="s">
        <v>367</v>
      </c>
    </row>
    <row r="168" spans="1:4" ht="15.75" x14ac:dyDescent="0.25">
      <c r="A168" s="6">
        <v>106</v>
      </c>
      <c r="B168" s="6" t="s">
        <v>345</v>
      </c>
      <c r="C168" s="6" t="s">
        <v>366</v>
      </c>
      <c r="D168" s="6" t="s">
        <v>368</v>
      </c>
    </row>
    <row r="169" spans="1:4" ht="15.75" x14ac:dyDescent="0.25">
      <c r="A169" s="6">
        <v>237</v>
      </c>
      <c r="B169" s="6" t="s">
        <v>345</v>
      </c>
      <c r="C169" s="6" t="s">
        <v>366</v>
      </c>
      <c r="D169" s="6" t="s">
        <v>369</v>
      </c>
    </row>
    <row r="170" spans="1:4" ht="15.75" x14ac:dyDescent="0.25">
      <c r="A170" s="6">
        <v>71</v>
      </c>
      <c r="B170" s="7" t="s">
        <v>370</v>
      </c>
      <c r="C170" s="6" t="s">
        <v>371</v>
      </c>
      <c r="D170" s="6" t="s">
        <v>372</v>
      </c>
    </row>
    <row r="171" spans="1:4" ht="15.75" x14ac:dyDescent="0.25">
      <c r="A171" s="6">
        <v>683</v>
      </c>
      <c r="B171" s="7" t="s">
        <v>370</v>
      </c>
      <c r="C171" s="6" t="s">
        <v>371</v>
      </c>
      <c r="D171" s="6" t="s">
        <v>373</v>
      </c>
    </row>
    <row r="172" spans="1:4" ht="15.75" x14ac:dyDescent="0.25">
      <c r="A172" s="6">
        <v>1105</v>
      </c>
      <c r="B172" s="7" t="s">
        <v>370</v>
      </c>
      <c r="C172" s="6" t="s">
        <v>371</v>
      </c>
      <c r="D172" s="6" t="s">
        <v>374</v>
      </c>
    </row>
    <row r="173" spans="1:4" ht="15.75" x14ac:dyDescent="0.25">
      <c r="A173" s="6">
        <v>575</v>
      </c>
      <c r="B173" s="7" t="s">
        <v>370</v>
      </c>
      <c r="C173" s="6" t="s">
        <v>371</v>
      </c>
      <c r="D173" s="6" t="s">
        <v>375</v>
      </c>
    </row>
    <row r="174" spans="1:4" ht="15.75" x14ac:dyDescent="0.25">
      <c r="A174" s="6">
        <v>212</v>
      </c>
      <c r="B174" s="7" t="s">
        <v>370</v>
      </c>
      <c r="C174" s="6" t="s">
        <v>376</v>
      </c>
      <c r="D174" s="6" t="s">
        <v>377</v>
      </c>
    </row>
    <row r="175" spans="1:4" ht="15.75" x14ac:dyDescent="0.25">
      <c r="A175" s="6">
        <v>648</v>
      </c>
      <c r="B175" s="7" t="s">
        <v>370</v>
      </c>
      <c r="C175" s="6" t="s">
        <v>376</v>
      </c>
      <c r="D175" s="6" t="s">
        <v>378</v>
      </c>
    </row>
    <row r="176" spans="1:4" ht="15.75" x14ac:dyDescent="0.25">
      <c r="A176" s="6">
        <v>38</v>
      </c>
      <c r="B176" s="7" t="s">
        <v>370</v>
      </c>
      <c r="C176" s="6" t="s">
        <v>379</v>
      </c>
      <c r="D176" s="6" t="s">
        <v>380</v>
      </c>
    </row>
    <row r="177" spans="1:4" ht="15.75" x14ac:dyDescent="0.25">
      <c r="A177" s="6">
        <v>129</v>
      </c>
      <c r="B177" s="7" t="s">
        <v>370</v>
      </c>
      <c r="C177" s="6" t="s">
        <v>379</v>
      </c>
      <c r="D177" s="6" t="s">
        <v>381</v>
      </c>
    </row>
    <row r="178" spans="1:4" ht="15.75" x14ac:dyDescent="0.25">
      <c r="A178" s="6">
        <v>673</v>
      </c>
      <c r="B178" s="7" t="s">
        <v>370</v>
      </c>
      <c r="C178" s="6" t="s">
        <v>379</v>
      </c>
      <c r="D178" s="6" t="s">
        <v>382</v>
      </c>
    </row>
    <row r="179" spans="1:4" ht="15.75" x14ac:dyDescent="0.25">
      <c r="A179" s="6">
        <v>573</v>
      </c>
      <c r="B179" s="7" t="s">
        <v>370</v>
      </c>
      <c r="C179" s="6" t="s">
        <v>383</v>
      </c>
      <c r="D179" s="6" t="s">
        <v>384</v>
      </c>
    </row>
    <row r="180" spans="1:4" ht="15.75" x14ac:dyDescent="0.25">
      <c r="A180" s="6">
        <v>64</v>
      </c>
      <c r="B180" s="7" t="s">
        <v>370</v>
      </c>
      <c r="C180" s="6" t="s">
        <v>383</v>
      </c>
      <c r="D180" s="6" t="s">
        <v>385</v>
      </c>
    </row>
    <row r="181" spans="1:4" ht="15.75" x14ac:dyDescent="0.25">
      <c r="A181" s="6">
        <v>306</v>
      </c>
      <c r="B181" s="7" t="s">
        <v>370</v>
      </c>
      <c r="C181" s="6" t="s">
        <v>386</v>
      </c>
      <c r="D181" s="6" t="s">
        <v>387</v>
      </c>
    </row>
    <row r="182" spans="1:4" ht="15.75" x14ac:dyDescent="0.25">
      <c r="A182" s="6">
        <v>540</v>
      </c>
      <c r="B182" s="7" t="s">
        <v>370</v>
      </c>
      <c r="C182" s="6" t="s">
        <v>386</v>
      </c>
      <c r="D182" s="6" t="s">
        <v>388</v>
      </c>
    </row>
    <row r="183" spans="1:4" ht="15.75" x14ac:dyDescent="0.25">
      <c r="A183" s="6">
        <v>246</v>
      </c>
      <c r="B183" s="7" t="s">
        <v>370</v>
      </c>
      <c r="C183" s="6" t="s">
        <v>386</v>
      </c>
      <c r="D183" s="6" t="s">
        <v>389</v>
      </c>
    </row>
    <row r="184" spans="1:4" ht="15.75" x14ac:dyDescent="0.25">
      <c r="A184" s="6">
        <v>8</v>
      </c>
      <c r="B184" s="7" t="s">
        <v>370</v>
      </c>
      <c r="C184" s="6" t="s">
        <v>390</v>
      </c>
      <c r="D184" s="6" t="s">
        <v>391</v>
      </c>
    </row>
    <row r="185" spans="1:4" ht="15.75" x14ac:dyDescent="0.25">
      <c r="A185" s="6">
        <v>245</v>
      </c>
      <c r="B185" s="7" t="s">
        <v>370</v>
      </c>
      <c r="C185" s="6" t="s">
        <v>390</v>
      </c>
      <c r="D185" s="6"/>
    </row>
    <row r="186" spans="1:4" ht="15.75" x14ac:dyDescent="0.25">
      <c r="A186" s="6">
        <v>82</v>
      </c>
      <c r="B186" s="7" t="s">
        <v>370</v>
      </c>
      <c r="C186" s="6" t="s">
        <v>392</v>
      </c>
      <c r="D186" s="6" t="s">
        <v>393</v>
      </c>
    </row>
    <row r="187" spans="1:4" ht="15.75" x14ac:dyDescent="0.25">
      <c r="A187" s="6">
        <v>32</v>
      </c>
      <c r="B187" s="7" t="s">
        <v>370</v>
      </c>
      <c r="C187" s="6" t="s">
        <v>392</v>
      </c>
      <c r="D187" s="6" t="s">
        <v>394</v>
      </c>
    </row>
    <row r="188" spans="1:4" ht="15.75" x14ac:dyDescent="0.25">
      <c r="A188" s="6">
        <v>584</v>
      </c>
      <c r="B188" s="6" t="s">
        <v>395</v>
      </c>
      <c r="C188" s="6" t="s">
        <v>396</v>
      </c>
      <c r="D188" s="6" t="s">
        <v>397</v>
      </c>
    </row>
    <row r="189" spans="1:4" ht="15.75" x14ac:dyDescent="0.25">
      <c r="A189" s="6">
        <v>1141</v>
      </c>
      <c r="B189" s="6" t="s">
        <v>395</v>
      </c>
      <c r="C189" s="6" t="s">
        <v>398</v>
      </c>
      <c r="D189" s="6" t="s">
        <v>399</v>
      </c>
    </row>
    <row r="190" spans="1:4" ht="15.75" x14ac:dyDescent="0.25">
      <c r="A190" s="6">
        <v>444</v>
      </c>
      <c r="B190" s="6" t="s">
        <v>395</v>
      </c>
      <c r="C190" s="6" t="s">
        <v>398</v>
      </c>
      <c r="D190" s="6" t="s">
        <v>400</v>
      </c>
    </row>
    <row r="191" spans="1:4" ht="15.75" x14ac:dyDescent="0.25">
      <c r="A191" s="6">
        <v>48</v>
      </c>
      <c r="B191" s="6" t="s">
        <v>401</v>
      </c>
      <c r="C191" s="6" t="s">
        <v>402</v>
      </c>
      <c r="D191" s="6" t="s">
        <v>403</v>
      </c>
    </row>
    <row r="192" spans="1:4" ht="15.75" x14ac:dyDescent="0.25">
      <c r="A192" s="6">
        <v>280</v>
      </c>
      <c r="B192" s="6" t="s">
        <v>401</v>
      </c>
      <c r="C192" s="6" t="s">
        <v>404</v>
      </c>
      <c r="D192" s="6" t="s">
        <v>405</v>
      </c>
    </row>
    <row r="193" spans="1:4" ht="15.75" x14ac:dyDescent="0.25">
      <c r="A193" s="6">
        <v>659</v>
      </c>
      <c r="B193" s="6" t="s">
        <v>401</v>
      </c>
      <c r="C193" s="6" t="s">
        <v>404</v>
      </c>
      <c r="D193" s="6" t="s">
        <v>406</v>
      </c>
    </row>
    <row r="194" spans="1:4" ht="15.75" x14ac:dyDescent="0.25">
      <c r="A194" s="6">
        <v>932</v>
      </c>
      <c r="B194" s="6" t="s">
        <v>401</v>
      </c>
      <c r="C194" s="6" t="s">
        <v>404</v>
      </c>
      <c r="D194" s="6" t="s">
        <v>407</v>
      </c>
    </row>
    <row r="195" spans="1:4" ht="15.75" x14ac:dyDescent="0.25">
      <c r="A195" s="6">
        <v>375</v>
      </c>
      <c r="B195" s="6" t="s">
        <v>408</v>
      </c>
      <c r="C195" s="6" t="s">
        <v>409</v>
      </c>
      <c r="D195" s="6" t="s">
        <v>410</v>
      </c>
    </row>
    <row r="196" spans="1:4" ht="15.75" x14ac:dyDescent="0.25">
      <c r="A196" s="6">
        <v>654</v>
      </c>
      <c r="B196" s="6" t="s">
        <v>408</v>
      </c>
      <c r="C196" s="6" t="s">
        <v>409</v>
      </c>
      <c r="D196" s="6" t="s">
        <v>411</v>
      </c>
    </row>
    <row r="197" spans="1:4" ht="15.75" x14ac:dyDescent="0.25">
      <c r="A197" s="6">
        <v>313</v>
      </c>
      <c r="B197" s="6" t="s">
        <v>408</v>
      </c>
      <c r="C197" s="6" t="s">
        <v>409</v>
      </c>
      <c r="D197" s="6" t="s">
        <v>412</v>
      </c>
    </row>
    <row r="198" spans="1:4" ht="15.75" x14ac:dyDescent="0.25">
      <c r="A198" s="6">
        <v>143</v>
      </c>
      <c r="B198" s="6" t="s">
        <v>408</v>
      </c>
      <c r="C198" s="6" t="s">
        <v>409</v>
      </c>
      <c r="D198" s="6" t="s">
        <v>413</v>
      </c>
    </row>
    <row r="199" spans="1:4" ht="15.75" x14ac:dyDescent="0.25">
      <c r="A199" s="6">
        <v>126</v>
      </c>
      <c r="B199" s="6" t="s">
        <v>408</v>
      </c>
      <c r="C199" s="6" t="s">
        <v>409</v>
      </c>
      <c r="D199" s="6" t="s">
        <v>414</v>
      </c>
    </row>
    <row r="200" spans="1:4" ht="15.75" x14ac:dyDescent="0.25">
      <c r="A200" s="6">
        <v>98</v>
      </c>
      <c r="B200" s="6" t="s">
        <v>408</v>
      </c>
      <c r="C200" s="6" t="s">
        <v>409</v>
      </c>
      <c r="D200" s="6" t="s">
        <v>415</v>
      </c>
    </row>
    <row r="201" spans="1:4" ht="15.75" x14ac:dyDescent="0.25">
      <c r="A201" s="6">
        <v>743</v>
      </c>
      <c r="B201" s="6" t="s">
        <v>408</v>
      </c>
      <c r="C201" s="6" t="s">
        <v>409</v>
      </c>
      <c r="D201" s="6" t="s">
        <v>416</v>
      </c>
    </row>
    <row r="202" spans="1:4" ht="15.75" x14ac:dyDescent="0.25">
      <c r="A202" s="6">
        <v>81</v>
      </c>
      <c r="B202" s="6" t="s">
        <v>408</v>
      </c>
      <c r="C202" s="6" t="s">
        <v>409</v>
      </c>
      <c r="D202" s="6" t="s">
        <v>417</v>
      </c>
    </row>
    <row r="203" spans="1:4" ht="15.75" x14ac:dyDescent="0.25">
      <c r="A203" s="6">
        <v>607</v>
      </c>
      <c r="B203" s="6" t="s">
        <v>408</v>
      </c>
      <c r="C203" s="6" t="s">
        <v>409</v>
      </c>
      <c r="D203" s="6" t="s">
        <v>418</v>
      </c>
    </row>
    <row r="204" spans="1:4" ht="15.75" x14ac:dyDescent="0.25">
      <c r="A204" s="6">
        <v>163</v>
      </c>
      <c r="B204" s="6" t="s">
        <v>408</v>
      </c>
      <c r="C204" s="6" t="s">
        <v>409</v>
      </c>
      <c r="D204" s="6" t="s">
        <v>419</v>
      </c>
    </row>
    <row r="205" spans="1:4" ht="15.75" x14ac:dyDescent="0.25">
      <c r="A205" s="6">
        <v>812</v>
      </c>
      <c r="B205" s="6" t="s">
        <v>408</v>
      </c>
      <c r="C205" s="6" t="s">
        <v>409</v>
      </c>
      <c r="D205" s="6" t="s">
        <v>420</v>
      </c>
    </row>
    <row r="206" spans="1:4" ht="15.75" x14ac:dyDescent="0.25">
      <c r="A206" s="6">
        <v>229</v>
      </c>
      <c r="B206" s="6" t="s">
        <v>408</v>
      </c>
      <c r="C206" s="6" t="s">
        <v>409</v>
      </c>
      <c r="D206" s="6" t="s">
        <v>421</v>
      </c>
    </row>
    <row r="207" spans="1:4" ht="15.75" x14ac:dyDescent="0.25">
      <c r="A207" s="6">
        <v>712</v>
      </c>
      <c r="B207" s="6" t="s">
        <v>408</v>
      </c>
      <c r="C207" s="6" t="s">
        <v>422</v>
      </c>
      <c r="D207" s="6" t="s">
        <v>423</v>
      </c>
    </row>
    <row r="208" spans="1:4" ht="15.75" x14ac:dyDescent="0.25">
      <c r="A208" s="6">
        <v>56</v>
      </c>
      <c r="B208" s="6" t="s">
        <v>408</v>
      </c>
      <c r="C208" s="6" t="s">
        <v>422</v>
      </c>
      <c r="D208" s="6" t="s">
        <v>424</v>
      </c>
    </row>
    <row r="209" spans="1:4" ht="15.75" x14ac:dyDescent="0.25">
      <c r="A209" s="6">
        <v>5</v>
      </c>
      <c r="B209" s="6" t="s">
        <v>408</v>
      </c>
      <c r="C209" s="6" t="s">
        <v>422</v>
      </c>
      <c r="D209" s="6" t="s">
        <v>425</v>
      </c>
    </row>
    <row r="210" spans="1:4" ht="15.75" x14ac:dyDescent="0.25">
      <c r="A210" s="6">
        <v>99</v>
      </c>
      <c r="B210" s="6" t="s">
        <v>426</v>
      </c>
      <c r="C210" s="6" t="s">
        <v>427</v>
      </c>
      <c r="D210" s="6" t="s">
        <v>428</v>
      </c>
    </row>
    <row r="211" spans="1:4" ht="15.75" x14ac:dyDescent="0.25">
      <c r="A211" s="6">
        <v>223</v>
      </c>
      <c r="B211" s="6" t="s">
        <v>426</v>
      </c>
      <c r="C211" s="6" t="s">
        <v>427</v>
      </c>
      <c r="D211" s="6" t="s">
        <v>429</v>
      </c>
    </row>
    <row r="212" spans="1:4" ht="15.75" x14ac:dyDescent="0.25">
      <c r="A212" s="6">
        <v>175</v>
      </c>
      <c r="B212" s="6" t="s">
        <v>430</v>
      </c>
      <c r="C212" s="6" t="s">
        <v>431</v>
      </c>
      <c r="D212" s="6" t="s">
        <v>432</v>
      </c>
    </row>
    <row r="213" spans="1:4" ht="15.75" x14ac:dyDescent="0.25">
      <c r="A213" s="6">
        <v>760</v>
      </c>
      <c r="B213" s="6" t="s">
        <v>430</v>
      </c>
      <c r="C213" s="6" t="s">
        <v>431</v>
      </c>
      <c r="D213" s="6" t="s">
        <v>433</v>
      </c>
    </row>
    <row r="214" spans="1:4" ht="15.75" x14ac:dyDescent="0.25">
      <c r="A214" s="6">
        <v>429</v>
      </c>
      <c r="B214" s="6" t="s">
        <v>430</v>
      </c>
      <c r="C214" s="6" t="s">
        <v>431</v>
      </c>
      <c r="D214" s="6" t="s">
        <v>434</v>
      </c>
    </row>
    <row r="215" spans="1:4" ht="15.75" x14ac:dyDescent="0.25">
      <c r="A215" s="6">
        <v>270</v>
      </c>
      <c r="B215" s="6" t="s">
        <v>430</v>
      </c>
      <c r="C215" s="6" t="s">
        <v>431</v>
      </c>
      <c r="D215" s="6" t="s">
        <v>435</v>
      </c>
    </row>
    <row r="216" spans="1:4" ht="15.75" x14ac:dyDescent="0.25">
      <c r="A216" s="6">
        <v>852</v>
      </c>
      <c r="B216" s="6" t="s">
        <v>430</v>
      </c>
      <c r="C216" s="6" t="s">
        <v>436</v>
      </c>
      <c r="D216" s="6" t="s">
        <v>437</v>
      </c>
    </row>
    <row r="217" spans="1:4" ht="15.75" x14ac:dyDescent="0.25">
      <c r="A217" s="6">
        <v>1925</v>
      </c>
      <c r="B217" s="6" t="s">
        <v>430</v>
      </c>
      <c r="C217" s="6" t="s">
        <v>436</v>
      </c>
      <c r="D217" s="6" t="s">
        <v>438</v>
      </c>
    </row>
    <row r="218" spans="1:4" ht="15.75" x14ac:dyDescent="0.25">
      <c r="A218" s="6">
        <v>474</v>
      </c>
      <c r="B218" s="6" t="s">
        <v>430</v>
      </c>
      <c r="C218" s="6" t="s">
        <v>436</v>
      </c>
      <c r="D218" s="6" t="s">
        <v>439</v>
      </c>
    </row>
    <row r="219" spans="1:4" ht="15.75" x14ac:dyDescent="0.25">
      <c r="A219" s="6">
        <v>520</v>
      </c>
      <c r="B219" s="6" t="s">
        <v>440</v>
      </c>
      <c r="C219" s="6" t="s">
        <v>441</v>
      </c>
      <c r="D219" s="6" t="s">
        <v>442</v>
      </c>
    </row>
    <row r="220" spans="1:4" ht="15.75" x14ac:dyDescent="0.25">
      <c r="A220" s="6">
        <v>72</v>
      </c>
      <c r="B220" s="6" t="s">
        <v>440</v>
      </c>
      <c r="C220" s="6" t="s">
        <v>441</v>
      </c>
      <c r="D220" s="6" t="s">
        <v>443</v>
      </c>
    </row>
    <row r="221" spans="1:4" ht="15.75" x14ac:dyDescent="0.25">
      <c r="A221" s="6">
        <v>583</v>
      </c>
      <c r="B221" s="6" t="s">
        <v>440</v>
      </c>
      <c r="C221" s="6" t="s">
        <v>444</v>
      </c>
      <c r="D221" s="6" t="s">
        <v>445</v>
      </c>
    </row>
    <row r="222" spans="1:4" ht="15.75" x14ac:dyDescent="0.25">
      <c r="A222" s="6">
        <v>20</v>
      </c>
      <c r="B222" s="6" t="s">
        <v>440</v>
      </c>
      <c r="C222" s="6" t="s">
        <v>446</v>
      </c>
      <c r="D222" s="6" t="s">
        <v>447</v>
      </c>
    </row>
    <row r="223" spans="1:4" ht="15.75" x14ac:dyDescent="0.25">
      <c r="A223" s="6">
        <v>301</v>
      </c>
      <c r="B223" s="6" t="s">
        <v>440</v>
      </c>
      <c r="C223" s="6" t="s">
        <v>446</v>
      </c>
      <c r="D223" s="6" t="s">
        <v>448</v>
      </c>
    </row>
    <row r="224" spans="1:4" ht="15.75" x14ac:dyDescent="0.25">
      <c r="A224" s="6">
        <v>681</v>
      </c>
      <c r="B224" s="6" t="s">
        <v>440</v>
      </c>
      <c r="C224" s="6" t="s">
        <v>449</v>
      </c>
      <c r="D224" s="6" t="s">
        <v>450</v>
      </c>
    </row>
    <row r="225" spans="1:4" ht="15.75" x14ac:dyDescent="0.25">
      <c r="A225" s="6">
        <v>479</v>
      </c>
      <c r="B225" s="6" t="s">
        <v>440</v>
      </c>
      <c r="C225" s="6" t="s">
        <v>451</v>
      </c>
      <c r="D225" s="6" t="s">
        <v>452</v>
      </c>
    </row>
    <row r="226" spans="1:4" ht="15.75" x14ac:dyDescent="0.25">
      <c r="A226" s="6">
        <v>627</v>
      </c>
      <c r="B226" s="6" t="s">
        <v>440</v>
      </c>
      <c r="C226" s="6" t="s">
        <v>451</v>
      </c>
      <c r="D226" s="6" t="s">
        <v>453</v>
      </c>
    </row>
    <row r="227" spans="1:4" ht="15.75" x14ac:dyDescent="0.25">
      <c r="A227" s="6">
        <v>716</v>
      </c>
      <c r="B227" s="6" t="s">
        <v>440</v>
      </c>
      <c r="C227" s="6" t="s">
        <v>451</v>
      </c>
      <c r="D227" s="6" t="s">
        <v>454</v>
      </c>
    </row>
    <row r="228" spans="1:4" ht="15.75" x14ac:dyDescent="0.25">
      <c r="A228" s="6">
        <v>1015</v>
      </c>
      <c r="B228" s="6" t="s">
        <v>440</v>
      </c>
      <c r="C228" s="6" t="s">
        <v>451</v>
      </c>
      <c r="D228" s="6" t="s">
        <v>455</v>
      </c>
    </row>
    <row r="229" spans="1:4" ht="15.75" x14ac:dyDescent="0.25">
      <c r="A229" s="6">
        <v>278</v>
      </c>
      <c r="B229" s="6" t="s">
        <v>440</v>
      </c>
      <c r="C229" s="6" t="s">
        <v>451</v>
      </c>
      <c r="D229" s="6" t="s">
        <v>456</v>
      </c>
    </row>
    <row r="230" spans="1:4" ht="15.75" x14ac:dyDescent="0.25">
      <c r="A230" s="6">
        <v>60</v>
      </c>
      <c r="B230" s="6" t="s">
        <v>440</v>
      </c>
      <c r="C230" s="6" t="s">
        <v>457</v>
      </c>
      <c r="D230" s="6" t="s">
        <v>458</v>
      </c>
    </row>
    <row r="231" spans="1:4" ht="15.75" x14ac:dyDescent="0.25">
      <c r="A231" s="6">
        <v>602</v>
      </c>
      <c r="B231" s="6" t="s">
        <v>440</v>
      </c>
      <c r="C231" s="6" t="s">
        <v>459</v>
      </c>
      <c r="D231" s="6" t="s">
        <v>460</v>
      </c>
    </row>
    <row r="232" spans="1:4" ht="15.75" x14ac:dyDescent="0.25">
      <c r="A232" s="6">
        <v>850</v>
      </c>
      <c r="B232" s="6" t="s">
        <v>440</v>
      </c>
      <c r="C232" s="6" t="s">
        <v>459</v>
      </c>
      <c r="D232" s="6" t="s">
        <v>461</v>
      </c>
    </row>
    <row r="233" spans="1:4" ht="15.75" x14ac:dyDescent="0.25">
      <c r="A233" s="6">
        <v>354</v>
      </c>
      <c r="B233" s="6" t="s">
        <v>462</v>
      </c>
      <c r="C233" s="6" t="s">
        <v>463</v>
      </c>
      <c r="D233" s="6" t="s">
        <v>464</v>
      </c>
    </row>
    <row r="234" spans="1:4" ht="15.75" x14ac:dyDescent="0.25">
      <c r="A234" s="6">
        <v>238</v>
      </c>
      <c r="B234" s="6" t="s">
        <v>465</v>
      </c>
      <c r="C234" s="6" t="s">
        <v>466</v>
      </c>
      <c r="D234" s="6" t="s">
        <v>467</v>
      </c>
    </row>
    <row r="235" spans="1:4" ht="15.75" x14ac:dyDescent="0.25">
      <c r="A235" s="6">
        <v>379</v>
      </c>
      <c r="B235" s="6" t="s">
        <v>465</v>
      </c>
      <c r="C235" s="6" t="s">
        <v>466</v>
      </c>
      <c r="D235" s="6" t="s">
        <v>468</v>
      </c>
    </row>
    <row r="236" spans="1:4" ht="15.75" x14ac:dyDescent="0.25">
      <c r="A236" s="6">
        <v>553</v>
      </c>
      <c r="B236" s="6" t="s">
        <v>465</v>
      </c>
      <c r="C236" s="6" t="s">
        <v>466</v>
      </c>
      <c r="D236" s="6" t="s">
        <v>469</v>
      </c>
    </row>
    <row r="237" spans="1:4" ht="15.75" x14ac:dyDescent="0.25">
      <c r="A237" s="6">
        <v>1340</v>
      </c>
      <c r="B237" s="6" t="s">
        <v>465</v>
      </c>
      <c r="C237" s="6" t="s">
        <v>466</v>
      </c>
      <c r="D237" s="6" t="s">
        <v>470</v>
      </c>
    </row>
    <row r="238" spans="1:4" ht="15.75" x14ac:dyDescent="0.25">
      <c r="A238" s="6">
        <v>666</v>
      </c>
      <c r="B238" s="6" t="s">
        <v>465</v>
      </c>
      <c r="C238" s="6" t="s">
        <v>466</v>
      </c>
      <c r="D238" s="6" t="s">
        <v>471</v>
      </c>
    </row>
    <row r="239" spans="1:4" ht="15.75" x14ac:dyDescent="0.25">
      <c r="A239" s="6">
        <v>776</v>
      </c>
      <c r="B239" s="6" t="s">
        <v>465</v>
      </c>
      <c r="C239" s="6" t="s">
        <v>466</v>
      </c>
      <c r="D239" s="6" t="s">
        <v>472</v>
      </c>
    </row>
    <row r="240" spans="1:4" ht="15.75" x14ac:dyDescent="0.25">
      <c r="A240" s="6">
        <v>80</v>
      </c>
      <c r="B240" s="6" t="s">
        <v>465</v>
      </c>
      <c r="C240" s="6" t="s">
        <v>466</v>
      </c>
      <c r="D240" s="6" t="s">
        <v>473</v>
      </c>
    </row>
    <row r="241" spans="1:4" ht="15.75" x14ac:dyDescent="0.25">
      <c r="A241" s="6">
        <v>495</v>
      </c>
      <c r="B241" s="6" t="s">
        <v>465</v>
      </c>
      <c r="C241" s="6" t="s">
        <v>466</v>
      </c>
      <c r="D241" s="6" t="s">
        <v>474</v>
      </c>
    </row>
    <row r="242" spans="1:4" ht="15.75" x14ac:dyDescent="0.25">
      <c r="A242" s="6">
        <v>26</v>
      </c>
      <c r="B242" s="6" t="s">
        <v>465</v>
      </c>
      <c r="C242" s="6" t="s">
        <v>475</v>
      </c>
      <c r="D242" s="6" t="s">
        <v>476</v>
      </c>
    </row>
    <row r="243" spans="1:4" ht="15.75" x14ac:dyDescent="0.25">
      <c r="A243" s="6">
        <v>191</v>
      </c>
      <c r="B243" s="6" t="s">
        <v>477</v>
      </c>
      <c r="C243" s="6" t="s">
        <v>478</v>
      </c>
      <c r="D243" s="6" t="s">
        <v>479</v>
      </c>
    </row>
    <row r="244" spans="1:4" ht="15.75" x14ac:dyDescent="0.25">
      <c r="A244" s="6">
        <v>73</v>
      </c>
      <c r="B244" s="6" t="s">
        <v>477</v>
      </c>
      <c r="C244" s="6" t="s">
        <v>480</v>
      </c>
      <c r="D244" s="6" t="s">
        <v>481</v>
      </c>
    </row>
    <row r="245" spans="1:4" ht="15.75" x14ac:dyDescent="0.25">
      <c r="A245" s="6">
        <v>112</v>
      </c>
      <c r="B245" s="6" t="s">
        <v>477</v>
      </c>
      <c r="C245" s="6" t="s">
        <v>480</v>
      </c>
      <c r="D245" s="6" t="s">
        <v>482</v>
      </c>
    </row>
    <row r="246" spans="1:4" ht="15.75" x14ac:dyDescent="0.25">
      <c r="A246" s="6">
        <v>46</v>
      </c>
      <c r="B246" s="6" t="s">
        <v>477</v>
      </c>
      <c r="C246" s="6" t="s">
        <v>483</v>
      </c>
      <c r="D246" s="6" t="s">
        <v>484</v>
      </c>
    </row>
    <row r="247" spans="1:4" ht="15.75" x14ac:dyDescent="0.25">
      <c r="A247" s="6">
        <v>76</v>
      </c>
      <c r="B247" s="6" t="s">
        <v>477</v>
      </c>
      <c r="C247" s="6" t="s">
        <v>485</v>
      </c>
      <c r="D247" s="6" t="s">
        <v>486</v>
      </c>
    </row>
    <row r="248" spans="1:4" ht="15.75" x14ac:dyDescent="0.25">
      <c r="A248" s="6">
        <v>494</v>
      </c>
      <c r="B248" s="6" t="s">
        <v>487</v>
      </c>
      <c r="C248" s="6" t="s">
        <v>488</v>
      </c>
      <c r="D248" s="6" t="s">
        <v>489</v>
      </c>
    </row>
    <row r="249" spans="1:4" ht="15.75" x14ac:dyDescent="0.25">
      <c r="A249" s="6">
        <v>577</v>
      </c>
      <c r="B249" s="6" t="s">
        <v>487</v>
      </c>
      <c r="C249" s="6" t="s">
        <v>490</v>
      </c>
      <c r="D249" s="6" t="s">
        <v>491</v>
      </c>
    </row>
    <row r="250" spans="1:4" ht="15.75" x14ac:dyDescent="0.25">
      <c r="A250" s="6">
        <v>14</v>
      </c>
      <c r="B250" s="6" t="s">
        <v>487</v>
      </c>
      <c r="C250" s="6" t="s">
        <v>490</v>
      </c>
      <c r="D250" s="6" t="s">
        <v>492</v>
      </c>
    </row>
    <row r="251" spans="1:4" ht="15.75" x14ac:dyDescent="0.25">
      <c r="A251" s="6">
        <v>890</v>
      </c>
      <c r="B251" s="6" t="s">
        <v>487</v>
      </c>
      <c r="C251" s="6" t="s">
        <v>490</v>
      </c>
      <c r="D251" s="6" t="s">
        <v>493</v>
      </c>
    </row>
    <row r="252" spans="1:4" ht="15.75" x14ac:dyDescent="0.25">
      <c r="A252" s="6">
        <v>127</v>
      </c>
      <c r="B252" s="6" t="s">
        <v>487</v>
      </c>
      <c r="C252" s="6" t="s">
        <v>490</v>
      </c>
      <c r="D252" s="6" t="s">
        <v>494</v>
      </c>
    </row>
    <row r="253" spans="1:4" ht="15.75" x14ac:dyDescent="0.25">
      <c r="A253" s="6">
        <v>159</v>
      </c>
      <c r="B253" s="6" t="s">
        <v>487</v>
      </c>
      <c r="C253" s="6" t="s">
        <v>490</v>
      </c>
      <c r="D253" s="6" t="s">
        <v>495</v>
      </c>
    </row>
    <row r="254" spans="1:4" ht="15.75" x14ac:dyDescent="0.25">
      <c r="A254" s="6">
        <v>158</v>
      </c>
      <c r="B254" s="6" t="s">
        <v>487</v>
      </c>
      <c r="C254" s="6" t="s">
        <v>490</v>
      </c>
      <c r="D254" s="6" t="s">
        <v>496</v>
      </c>
    </row>
    <row r="255" spans="1:4" ht="15.75" x14ac:dyDescent="0.25">
      <c r="A255" s="6">
        <v>430</v>
      </c>
      <c r="B255" s="6" t="s">
        <v>487</v>
      </c>
      <c r="C255" s="6" t="s">
        <v>490</v>
      </c>
      <c r="D255" s="6" t="s">
        <v>497</v>
      </c>
    </row>
    <row r="256" spans="1:4" ht="15.75" x14ac:dyDescent="0.25">
      <c r="A256" s="6">
        <v>388</v>
      </c>
      <c r="B256" s="6" t="s">
        <v>487</v>
      </c>
      <c r="C256" s="6" t="s">
        <v>490</v>
      </c>
      <c r="D256" s="6" t="s">
        <v>498</v>
      </c>
    </row>
    <row r="257" spans="1:4" ht="15.75" x14ac:dyDescent="0.25">
      <c r="A257" s="6">
        <v>466</v>
      </c>
      <c r="B257" s="6" t="s">
        <v>499</v>
      </c>
      <c r="C257" s="6" t="s">
        <v>500</v>
      </c>
      <c r="D257" s="6" t="s">
        <v>501</v>
      </c>
    </row>
    <row r="258" spans="1:4" ht="15.75" x14ac:dyDescent="0.25">
      <c r="A258" s="6">
        <v>596</v>
      </c>
      <c r="B258" s="6" t="s">
        <v>499</v>
      </c>
      <c r="C258" s="6" t="s">
        <v>500</v>
      </c>
      <c r="D258" s="6" t="s">
        <v>502</v>
      </c>
    </row>
    <row r="259" spans="1:4" ht="15.75" x14ac:dyDescent="0.25">
      <c r="A259" s="6">
        <v>317</v>
      </c>
      <c r="B259" s="6" t="s">
        <v>499</v>
      </c>
      <c r="C259" s="6" t="s">
        <v>500</v>
      </c>
      <c r="D259" s="6" t="s">
        <v>503</v>
      </c>
    </row>
    <row r="260" spans="1:4" ht="15.75" x14ac:dyDescent="0.25">
      <c r="A260" s="6">
        <v>972</v>
      </c>
      <c r="B260" s="6" t="s">
        <v>499</v>
      </c>
      <c r="C260" s="6" t="s">
        <v>500</v>
      </c>
      <c r="D260" s="6" t="s">
        <v>504</v>
      </c>
    </row>
    <row r="261" spans="1:4" ht="15.75" x14ac:dyDescent="0.25">
      <c r="A261" s="6">
        <v>968</v>
      </c>
      <c r="B261" s="6" t="s">
        <v>499</v>
      </c>
      <c r="C261" s="6" t="s">
        <v>500</v>
      </c>
      <c r="D261" s="6" t="s">
        <v>505</v>
      </c>
    </row>
    <row r="262" spans="1:4" ht="15.75" x14ac:dyDescent="0.25">
      <c r="A262" s="6">
        <v>141</v>
      </c>
      <c r="B262" s="6" t="s">
        <v>499</v>
      </c>
      <c r="C262" s="6" t="s">
        <v>500</v>
      </c>
      <c r="D262" s="6" t="s">
        <v>506</v>
      </c>
    </row>
    <row r="263" spans="1:4" ht="15.75" x14ac:dyDescent="0.25">
      <c r="A263" s="6">
        <v>322</v>
      </c>
      <c r="B263" t="s">
        <v>507</v>
      </c>
      <c r="C263" s="6" t="s">
        <v>508</v>
      </c>
      <c r="D263" s="6" t="s">
        <v>509</v>
      </c>
    </row>
    <row r="264" spans="1:4" ht="15.75" x14ac:dyDescent="0.25">
      <c r="A264" s="6">
        <v>415</v>
      </c>
      <c r="B264" s="6" t="s">
        <v>507</v>
      </c>
      <c r="C264" s="6" t="s">
        <v>508</v>
      </c>
      <c r="D264" s="6" t="s">
        <v>510</v>
      </c>
    </row>
    <row r="265" spans="1:4" ht="15.75" x14ac:dyDescent="0.25">
      <c r="A265" s="12">
        <v>84</v>
      </c>
      <c r="B265" s="10" t="s">
        <v>182</v>
      </c>
      <c r="C265" s="11" t="s">
        <v>511</v>
      </c>
      <c r="D265" s="11" t="s">
        <v>512</v>
      </c>
    </row>
    <row r="266" spans="1:4" ht="15.75" x14ac:dyDescent="0.25">
      <c r="A266" s="13">
        <v>175</v>
      </c>
      <c r="B266" s="10" t="s">
        <v>182</v>
      </c>
      <c r="C266" s="11" t="s">
        <v>511</v>
      </c>
      <c r="D266" s="6"/>
    </row>
    <row r="267" spans="1:4" ht="15.75" x14ac:dyDescent="0.25">
      <c r="A267" s="14">
        <v>222</v>
      </c>
      <c r="B267" s="10" t="s">
        <v>182</v>
      </c>
      <c r="C267" s="11" t="s">
        <v>511</v>
      </c>
      <c r="D267" s="26"/>
    </row>
    <row r="268" spans="1:4" ht="15.75" x14ac:dyDescent="0.25">
      <c r="A268" s="14">
        <v>238</v>
      </c>
      <c r="B268" s="10" t="s">
        <v>182</v>
      </c>
      <c r="C268" s="11" t="s">
        <v>511</v>
      </c>
      <c r="D268" s="26"/>
    </row>
    <row r="269" spans="1:4" ht="15.75" x14ac:dyDescent="0.25">
      <c r="A269" s="14">
        <v>270</v>
      </c>
      <c r="B269" s="10" t="s">
        <v>182</v>
      </c>
      <c r="C269" s="11" t="s">
        <v>511</v>
      </c>
      <c r="D269" s="26"/>
    </row>
    <row r="270" spans="1:4" ht="15.75" x14ac:dyDescent="0.25">
      <c r="A270" s="14">
        <v>295</v>
      </c>
      <c r="B270" s="10" t="s">
        <v>182</v>
      </c>
      <c r="C270" s="11" t="s">
        <v>511</v>
      </c>
      <c r="D270" s="26"/>
    </row>
    <row r="271" spans="1:4" ht="15.75" x14ac:dyDescent="0.25">
      <c r="A271" s="14">
        <v>301</v>
      </c>
      <c r="B271" s="10" t="s">
        <v>182</v>
      </c>
      <c r="C271" s="11" t="s">
        <v>511</v>
      </c>
      <c r="D271" s="26"/>
    </row>
    <row r="272" spans="1:4" ht="15.75" x14ac:dyDescent="0.25">
      <c r="A272" s="14">
        <v>342</v>
      </c>
      <c r="B272" s="10" t="s">
        <v>182</v>
      </c>
      <c r="C272" s="11" t="s">
        <v>511</v>
      </c>
      <c r="D272" s="26"/>
    </row>
    <row r="273" spans="1:4" ht="15.75" x14ac:dyDescent="0.25">
      <c r="A273" s="14">
        <v>379</v>
      </c>
      <c r="B273" s="10" t="s">
        <v>182</v>
      </c>
      <c r="C273" s="11" t="s">
        <v>511</v>
      </c>
      <c r="D273" s="26"/>
    </row>
    <row r="274" spans="1:4" ht="15.75" x14ac:dyDescent="0.25">
      <c r="A274" s="14">
        <v>429</v>
      </c>
      <c r="B274" s="10" t="s">
        <v>182</v>
      </c>
      <c r="C274" s="11" t="s">
        <v>511</v>
      </c>
      <c r="D274" s="26"/>
    </row>
    <row r="275" spans="1:4" ht="15.75" x14ac:dyDescent="0.25">
      <c r="A275" s="14">
        <v>436</v>
      </c>
      <c r="B275" s="10" t="s">
        <v>182</v>
      </c>
      <c r="C275" s="11" t="s">
        <v>511</v>
      </c>
      <c r="D275" s="26"/>
    </row>
    <row r="276" spans="1:4" ht="15.75" x14ac:dyDescent="0.25">
      <c r="A276" s="14">
        <v>443</v>
      </c>
      <c r="B276" s="10" t="s">
        <v>182</v>
      </c>
      <c r="C276" s="11" t="s">
        <v>511</v>
      </c>
      <c r="D276" s="26"/>
    </row>
    <row r="277" spans="1:4" ht="15.75" x14ac:dyDescent="0.25">
      <c r="A277" s="14">
        <v>474</v>
      </c>
      <c r="B277" s="10" t="s">
        <v>182</v>
      </c>
      <c r="C277" s="11" t="s">
        <v>511</v>
      </c>
      <c r="D277" s="26"/>
    </row>
    <row r="278" spans="1:4" ht="15.75" x14ac:dyDescent="0.25">
      <c r="A278" s="14">
        <v>495</v>
      </c>
      <c r="B278" s="10" t="s">
        <v>182</v>
      </c>
      <c r="C278" s="11" t="s">
        <v>511</v>
      </c>
      <c r="D278" s="26"/>
    </row>
    <row r="279" spans="1:4" ht="15.75" x14ac:dyDescent="0.25">
      <c r="A279" s="14">
        <v>553</v>
      </c>
      <c r="B279" s="10" t="s">
        <v>182</v>
      </c>
      <c r="C279" s="11" t="s">
        <v>511</v>
      </c>
      <c r="D279" s="26"/>
    </row>
    <row r="280" spans="1:4" ht="15.75" x14ac:dyDescent="0.25">
      <c r="A280" s="14">
        <v>558</v>
      </c>
      <c r="B280" s="10" t="s">
        <v>182</v>
      </c>
      <c r="C280" s="11" t="s">
        <v>511</v>
      </c>
      <c r="D280" s="26"/>
    </row>
    <row r="281" spans="1:4" ht="15.75" x14ac:dyDescent="0.25">
      <c r="A281" s="14">
        <v>676</v>
      </c>
      <c r="B281" s="10" t="s">
        <v>182</v>
      </c>
      <c r="C281" s="11" t="s">
        <v>511</v>
      </c>
      <c r="D281" s="4"/>
    </row>
    <row r="282" spans="1:4" ht="15.75" x14ac:dyDescent="0.25">
      <c r="A282" s="14">
        <v>700</v>
      </c>
      <c r="B282" s="10" t="s">
        <v>182</v>
      </c>
      <c r="C282" s="11" t="s">
        <v>511</v>
      </c>
      <c r="D282" s="4"/>
    </row>
    <row r="283" spans="1:4" ht="15.75" x14ac:dyDescent="0.25">
      <c r="A283" s="14">
        <v>738</v>
      </c>
      <c r="B283" s="10" t="s">
        <v>182</v>
      </c>
      <c r="C283" s="11" t="s">
        <v>511</v>
      </c>
      <c r="D283" s="4"/>
    </row>
    <row r="284" spans="1:4" ht="15.75" x14ac:dyDescent="0.25">
      <c r="A284" s="14">
        <v>760</v>
      </c>
      <c r="B284" s="10" t="s">
        <v>182</v>
      </c>
      <c r="C284" s="11" t="s">
        <v>511</v>
      </c>
      <c r="D284" s="26"/>
    </row>
    <row r="285" spans="1:4" ht="15.75" x14ac:dyDescent="0.25">
      <c r="A285" s="14">
        <v>776</v>
      </c>
      <c r="B285" s="10" t="s">
        <v>182</v>
      </c>
      <c r="C285" s="11" t="s">
        <v>511</v>
      </c>
      <c r="D285" s="26"/>
    </row>
    <row r="286" spans="1:4" ht="15.75" x14ac:dyDescent="0.25">
      <c r="A286" s="14">
        <v>852</v>
      </c>
      <c r="B286" s="10" t="s">
        <v>182</v>
      </c>
      <c r="C286" s="11" t="s">
        <v>511</v>
      </c>
      <c r="D286" s="26"/>
    </row>
    <row r="287" spans="1:4" ht="15.75" x14ac:dyDescent="0.25">
      <c r="A287" s="14">
        <v>903</v>
      </c>
      <c r="B287" s="10" t="s">
        <v>182</v>
      </c>
      <c r="C287" s="11" t="s">
        <v>511</v>
      </c>
      <c r="D287" s="4"/>
    </row>
    <row r="288" spans="1:4" ht="15.75" x14ac:dyDescent="0.25">
      <c r="A288" s="14">
        <v>934</v>
      </c>
      <c r="B288" s="10" t="s">
        <v>182</v>
      </c>
      <c r="C288" s="11" t="s">
        <v>511</v>
      </c>
      <c r="D288" s="26"/>
    </row>
    <row r="289" spans="1:4" ht="15.75" x14ac:dyDescent="0.25">
      <c r="A289" s="14">
        <v>995</v>
      </c>
      <c r="B289" s="10" t="s">
        <v>182</v>
      </c>
      <c r="C289" s="11" t="s">
        <v>511</v>
      </c>
      <c r="D289" s="26"/>
    </row>
    <row r="290" spans="1:4" ht="15.75" x14ac:dyDescent="0.25">
      <c r="A290" s="14">
        <v>1516</v>
      </c>
      <c r="B290" s="10" t="s">
        <v>182</v>
      </c>
      <c r="C290" s="11" t="s">
        <v>511</v>
      </c>
      <c r="D290" s="26"/>
    </row>
    <row r="291" spans="1:4" ht="15.75" x14ac:dyDescent="0.25">
      <c r="A291" s="16">
        <v>1925</v>
      </c>
      <c r="B291" s="10" t="s">
        <v>182</v>
      </c>
      <c r="C291" s="11" t="s">
        <v>511</v>
      </c>
      <c r="D291" s="15"/>
    </row>
    <row r="292" spans="1:4" ht="15.75" x14ac:dyDescent="0.25">
      <c r="A292" s="6">
        <v>2</v>
      </c>
      <c r="B292" s="6" t="s">
        <v>302</v>
      </c>
      <c r="C292" s="6" t="s">
        <v>513</v>
      </c>
      <c r="D292" s="6"/>
    </row>
    <row r="293" spans="1:4" ht="15.75" x14ac:dyDescent="0.25">
      <c r="A293" s="6">
        <v>53</v>
      </c>
      <c r="B293" s="6" t="s">
        <v>302</v>
      </c>
      <c r="C293" s="6" t="s">
        <v>513</v>
      </c>
      <c r="D293" s="6"/>
    </row>
    <row r="294" spans="1:4" ht="15.75" x14ac:dyDescent="0.25">
      <c r="A294" s="6">
        <v>55</v>
      </c>
      <c r="B294" s="6" t="s">
        <v>302</v>
      </c>
      <c r="C294" s="6" t="s">
        <v>513</v>
      </c>
      <c r="D294" s="6"/>
    </row>
    <row r="295" spans="1:4" ht="15.75" x14ac:dyDescent="0.25">
      <c r="A295" s="6">
        <v>95</v>
      </c>
      <c r="B295" s="6" t="s">
        <v>302</v>
      </c>
      <c r="C295" s="6" t="s">
        <v>513</v>
      </c>
      <c r="D295" s="6"/>
    </row>
    <row r="296" spans="1:4" ht="15.75" x14ac:dyDescent="0.25">
      <c r="A296" s="6">
        <v>160</v>
      </c>
      <c r="B296" s="6" t="s">
        <v>302</v>
      </c>
      <c r="C296" s="6" t="s">
        <v>513</v>
      </c>
      <c r="D296" s="6"/>
    </row>
    <row r="297" spans="1:4" ht="15.75" x14ac:dyDescent="0.25">
      <c r="A297" s="6">
        <v>426</v>
      </c>
      <c r="B297" s="6" t="s">
        <v>302</v>
      </c>
      <c r="C297" s="6" t="s">
        <v>513</v>
      </c>
      <c r="D297" s="6"/>
    </row>
    <row r="298" spans="1:4" ht="15.75" x14ac:dyDescent="0.25">
      <c r="A298" s="6">
        <v>714</v>
      </c>
      <c r="B298" s="6" t="s">
        <v>302</v>
      </c>
      <c r="C298" s="6" t="s">
        <v>513</v>
      </c>
      <c r="D298" s="6"/>
    </row>
    <row r="299" spans="1:4" ht="15.75" x14ac:dyDescent="0.25">
      <c r="A299" s="6">
        <v>953</v>
      </c>
      <c r="B299" s="6" t="s">
        <v>302</v>
      </c>
      <c r="C299" s="6" t="s">
        <v>513</v>
      </c>
      <c r="D299" s="6"/>
    </row>
    <row r="300" spans="1:4" ht="15.75" x14ac:dyDescent="0.25">
      <c r="A300" s="6">
        <v>1250</v>
      </c>
      <c r="B300" s="6" t="s">
        <v>302</v>
      </c>
      <c r="C300" s="6" t="s">
        <v>513</v>
      </c>
      <c r="D300" s="6"/>
    </row>
    <row r="301" spans="1:4" ht="15.75" x14ac:dyDescent="0.25">
      <c r="A301" s="6">
        <v>1426</v>
      </c>
      <c r="B301" s="6" t="s">
        <v>302</v>
      </c>
      <c r="C301" s="6" t="s">
        <v>513</v>
      </c>
      <c r="D301" s="6"/>
    </row>
    <row r="302" spans="1:4" ht="15.75" x14ac:dyDescent="0.25">
      <c r="A302" s="6">
        <v>1525</v>
      </c>
      <c r="B302" s="6" t="s">
        <v>302</v>
      </c>
      <c r="C302" s="6" t="s">
        <v>513</v>
      </c>
      <c r="D302" s="6"/>
    </row>
    <row r="303" spans="1:4" ht="15.75" x14ac:dyDescent="0.25">
      <c r="A303" s="6">
        <v>2150</v>
      </c>
      <c r="B303" s="6" t="s">
        <v>302</v>
      </c>
      <c r="C303" s="6" t="s">
        <v>513</v>
      </c>
      <c r="D303" s="6"/>
    </row>
    <row r="304" spans="1:4" ht="15.75" x14ac:dyDescent="0.25">
      <c r="A304" s="6">
        <v>66</v>
      </c>
      <c r="B304" s="6" t="s">
        <v>302</v>
      </c>
      <c r="C304" s="6" t="s">
        <v>514</v>
      </c>
      <c r="D304" s="6" t="s">
        <v>515</v>
      </c>
    </row>
    <row r="305" spans="1:4" ht="15.75" x14ac:dyDescent="0.25">
      <c r="A305" s="6">
        <v>220</v>
      </c>
      <c r="B305" s="6" t="s">
        <v>302</v>
      </c>
      <c r="C305" s="6" t="s">
        <v>514</v>
      </c>
      <c r="D305" s="6" t="s">
        <v>516</v>
      </c>
    </row>
    <row r="306" spans="1:4" ht="15.75" x14ac:dyDescent="0.25">
      <c r="A306" s="25">
        <v>278</v>
      </c>
      <c r="B306" s="6" t="s">
        <v>302</v>
      </c>
      <c r="C306" s="6" t="s">
        <v>514</v>
      </c>
      <c r="D306" s="25"/>
    </row>
    <row r="307" spans="1:4" ht="15.75" x14ac:dyDescent="0.25">
      <c r="A307" s="25">
        <v>304</v>
      </c>
      <c r="B307" s="6" t="s">
        <v>302</v>
      </c>
      <c r="C307" s="6" t="s">
        <v>514</v>
      </c>
      <c r="D307" s="25"/>
    </row>
    <row r="308" spans="1:4" ht="15.75" x14ac:dyDescent="0.25">
      <c r="A308" s="25">
        <v>583</v>
      </c>
      <c r="B308" s="6" t="s">
        <v>302</v>
      </c>
      <c r="C308" s="6" t="s">
        <v>514</v>
      </c>
      <c r="D308" s="25"/>
    </row>
    <row r="309" spans="1:4" ht="15.75" x14ac:dyDescent="0.25">
      <c r="A309" s="25">
        <v>602</v>
      </c>
      <c r="B309" s="6" t="s">
        <v>302</v>
      </c>
      <c r="C309" s="6" t="s">
        <v>514</v>
      </c>
      <c r="D309" s="25"/>
    </row>
    <row r="310" spans="1:4" ht="15.75" x14ac:dyDescent="0.25">
      <c r="A310" s="25">
        <v>611</v>
      </c>
      <c r="B310" s="6" t="s">
        <v>302</v>
      </c>
      <c r="C310" s="6" t="s">
        <v>514</v>
      </c>
      <c r="D310" s="25"/>
    </row>
    <row r="311" spans="1:4" ht="15.75" x14ac:dyDescent="0.25">
      <c r="A311" s="25">
        <v>681</v>
      </c>
      <c r="B311" s="6" t="s">
        <v>302</v>
      </c>
      <c r="C311" s="6" t="s">
        <v>514</v>
      </c>
      <c r="D311" s="9"/>
    </row>
    <row r="312" spans="1:4" ht="15.75" x14ac:dyDescent="0.25">
      <c r="A312" s="25">
        <v>738</v>
      </c>
      <c r="B312" s="6" t="s">
        <v>302</v>
      </c>
      <c r="C312" s="6" t="s">
        <v>514</v>
      </c>
      <c r="D312" s="4"/>
    </row>
    <row r="313" spans="1:4" ht="15.75" x14ac:dyDescent="0.25">
      <c r="A313" s="25">
        <v>769</v>
      </c>
      <c r="B313" s="6" t="s">
        <v>302</v>
      </c>
      <c r="C313" s="6" t="s">
        <v>514</v>
      </c>
      <c r="D313" s="26"/>
    </row>
    <row r="314" spans="1:4" ht="15.75" x14ac:dyDescent="0.25">
      <c r="A314" s="9">
        <v>898</v>
      </c>
      <c r="B314" s="6" t="s">
        <v>302</v>
      </c>
      <c r="C314" s="6" t="s">
        <v>514</v>
      </c>
      <c r="D314" s="4"/>
    </row>
    <row r="315" spans="1:4" ht="15.75" x14ac:dyDescent="0.25">
      <c r="A315" s="25">
        <v>1002</v>
      </c>
      <c r="B315" s="6" t="s">
        <v>302</v>
      </c>
      <c r="C315" s="6" t="s">
        <v>514</v>
      </c>
      <c r="D315" s="26"/>
    </row>
    <row r="316" spans="1:4" ht="15.75" x14ac:dyDescent="0.25">
      <c r="A316" s="25">
        <v>2286</v>
      </c>
      <c r="B316" s="6" t="s">
        <v>302</v>
      </c>
      <c r="C316" s="6" t="s">
        <v>514</v>
      </c>
      <c r="D316" s="4"/>
    </row>
    <row r="317" spans="1:4" ht="15.75" x14ac:dyDescent="0.25">
      <c r="A317" s="6">
        <v>3</v>
      </c>
      <c r="B317" s="6" t="s">
        <v>345</v>
      </c>
      <c r="C317" s="6" t="s">
        <v>517</v>
      </c>
      <c r="D317" s="6"/>
    </row>
    <row r="318" spans="1:4" ht="15.75" x14ac:dyDescent="0.25">
      <c r="A318" s="6">
        <v>42</v>
      </c>
      <c r="B318" s="6" t="s">
        <v>345</v>
      </c>
      <c r="C318" s="6" t="s">
        <v>517</v>
      </c>
      <c r="D318" s="6"/>
    </row>
    <row r="319" spans="1:4" ht="15.75" x14ac:dyDescent="0.25">
      <c r="A319" s="6">
        <v>104</v>
      </c>
      <c r="B319" s="6" t="s">
        <v>345</v>
      </c>
      <c r="C319" s="6" t="s">
        <v>517</v>
      </c>
      <c r="D319" s="6"/>
    </row>
    <row r="320" spans="1:4" ht="15.75" x14ac:dyDescent="0.25">
      <c r="A320" s="6">
        <v>126</v>
      </c>
      <c r="B320" s="6" t="s">
        <v>345</v>
      </c>
      <c r="C320" s="6" t="s">
        <v>517</v>
      </c>
      <c r="D320" s="6"/>
    </row>
    <row r="321" spans="1:4" ht="15.75" x14ac:dyDescent="0.25">
      <c r="A321" s="6">
        <v>351</v>
      </c>
      <c r="B321" s="6" t="s">
        <v>345</v>
      </c>
      <c r="C321" s="6" t="s">
        <v>517</v>
      </c>
      <c r="D321" s="6"/>
    </row>
    <row r="322" spans="1:4" ht="15.75" x14ac:dyDescent="0.25">
      <c r="A322" s="6">
        <v>456</v>
      </c>
      <c r="B322" s="6" t="s">
        <v>345</v>
      </c>
      <c r="C322" s="6" t="s">
        <v>517</v>
      </c>
      <c r="D322" s="6"/>
    </row>
    <row r="323" spans="1:4" ht="15.75" x14ac:dyDescent="0.25">
      <c r="A323" s="6">
        <v>1049</v>
      </c>
      <c r="B323" s="6" t="s">
        <v>345</v>
      </c>
      <c r="C323" s="6" t="s">
        <v>517</v>
      </c>
      <c r="D323" s="6"/>
    </row>
    <row r="324" spans="1:4" ht="15.75" x14ac:dyDescent="0.25">
      <c r="A324" s="6">
        <v>1249</v>
      </c>
      <c r="B324" s="6" t="s">
        <v>345</v>
      </c>
      <c r="C324" s="6" t="s">
        <v>517</v>
      </c>
      <c r="D324" s="6"/>
    </row>
    <row r="325" spans="1:4" ht="15.75" x14ac:dyDescent="0.25">
      <c r="A325" s="6">
        <v>1319</v>
      </c>
      <c r="B325" s="6" t="s">
        <v>345</v>
      </c>
      <c r="C325" s="6" t="s">
        <v>517</v>
      </c>
      <c r="D325" s="6"/>
    </row>
    <row r="326" spans="1:4" ht="15.75" x14ac:dyDescent="0.25">
      <c r="A326" s="6">
        <v>17</v>
      </c>
      <c r="B326" s="6" t="s">
        <v>370</v>
      </c>
      <c r="C326" s="6" t="s">
        <v>518</v>
      </c>
      <c r="D326" s="6"/>
    </row>
    <row r="327" spans="1:4" ht="15.75" x14ac:dyDescent="0.25">
      <c r="A327" s="6">
        <v>51</v>
      </c>
      <c r="B327" s="6" t="s">
        <v>370</v>
      </c>
      <c r="C327" s="6" t="s">
        <v>518</v>
      </c>
      <c r="D327" s="6"/>
    </row>
    <row r="328" spans="1:4" ht="15.75" x14ac:dyDescent="0.25">
      <c r="A328" s="6">
        <v>70</v>
      </c>
      <c r="B328" s="6" t="s">
        <v>370</v>
      </c>
      <c r="C328" s="6" t="s">
        <v>518</v>
      </c>
      <c r="D328" s="6"/>
    </row>
    <row r="329" spans="1:4" ht="15.75" x14ac:dyDescent="0.25">
      <c r="A329" s="6">
        <v>71</v>
      </c>
      <c r="B329" s="6" t="s">
        <v>370</v>
      </c>
      <c r="C329" s="6" t="s">
        <v>518</v>
      </c>
      <c r="D329" s="6"/>
    </row>
    <row r="330" spans="1:4" ht="15.75" x14ac:dyDescent="0.25">
      <c r="A330" s="6">
        <v>145</v>
      </c>
      <c r="B330" s="6" t="s">
        <v>370</v>
      </c>
      <c r="C330" s="6" t="s">
        <v>518</v>
      </c>
      <c r="D330" s="6"/>
    </row>
    <row r="331" spans="1:4" ht="15.75" x14ac:dyDescent="0.25">
      <c r="A331" s="6">
        <v>193</v>
      </c>
      <c r="B331" s="6" t="s">
        <v>370</v>
      </c>
      <c r="C331" s="6" t="s">
        <v>518</v>
      </c>
      <c r="D331" s="6"/>
    </row>
    <row r="332" spans="1:4" ht="15.75" x14ac:dyDescent="0.25">
      <c r="A332" s="6">
        <v>196</v>
      </c>
      <c r="B332" s="6" t="s">
        <v>370</v>
      </c>
      <c r="C332" s="6" t="s">
        <v>518</v>
      </c>
      <c r="D332" s="6"/>
    </row>
    <row r="333" spans="1:4" ht="15.75" x14ac:dyDescent="0.25">
      <c r="A333" s="6">
        <v>245</v>
      </c>
      <c r="B333" s="6" t="s">
        <v>370</v>
      </c>
      <c r="C333" s="6" t="s">
        <v>518</v>
      </c>
      <c r="D333" s="6"/>
    </row>
    <row r="334" spans="1:4" ht="15.75" x14ac:dyDescent="0.25">
      <c r="A334" s="6">
        <v>309</v>
      </c>
      <c r="B334" s="6" t="s">
        <v>370</v>
      </c>
      <c r="C334" s="6" t="s">
        <v>518</v>
      </c>
      <c r="D334" s="6"/>
    </row>
    <row r="335" spans="1:4" ht="15.75" x14ac:dyDescent="0.25">
      <c r="A335" s="6">
        <v>317</v>
      </c>
      <c r="B335" s="6" t="s">
        <v>370</v>
      </c>
      <c r="C335" s="6" t="s">
        <v>518</v>
      </c>
      <c r="D335" s="6"/>
    </row>
    <row r="336" spans="1:4" ht="15.75" x14ac:dyDescent="0.25">
      <c r="A336" s="6">
        <v>369</v>
      </c>
      <c r="B336" s="6" t="s">
        <v>370</v>
      </c>
      <c r="C336" s="6" t="s">
        <v>518</v>
      </c>
      <c r="D336" s="6"/>
    </row>
    <row r="337" spans="1:4" ht="15.75" x14ac:dyDescent="0.25">
      <c r="A337" s="6">
        <v>649</v>
      </c>
      <c r="B337" s="6" t="s">
        <v>370</v>
      </c>
      <c r="C337" s="6" t="s">
        <v>518</v>
      </c>
      <c r="D337" s="6"/>
    </row>
    <row r="338" spans="1:4" ht="15.75" x14ac:dyDescent="0.25">
      <c r="A338" s="6">
        <v>702</v>
      </c>
      <c r="B338" s="6" t="s">
        <v>370</v>
      </c>
      <c r="C338" s="6" t="s">
        <v>518</v>
      </c>
      <c r="D338" s="6"/>
    </row>
    <row r="339" spans="1:4" ht="15.75" x14ac:dyDescent="0.25">
      <c r="A339" s="6">
        <v>876</v>
      </c>
      <c r="B339" s="6" t="s">
        <v>370</v>
      </c>
      <c r="C339" s="6" t="s">
        <v>518</v>
      </c>
      <c r="D339" s="6"/>
    </row>
    <row r="340" spans="1:4" ht="15.75" x14ac:dyDescent="0.25">
      <c r="A340" s="6">
        <v>934</v>
      </c>
      <c r="B340" s="6" t="s">
        <v>370</v>
      </c>
      <c r="C340" s="6" t="s">
        <v>518</v>
      </c>
      <c r="D340" s="6"/>
    </row>
    <row r="341" spans="1:4" ht="15.75" x14ac:dyDescent="0.25">
      <c r="A341" s="6">
        <v>1393</v>
      </c>
      <c r="B341" s="6" t="s">
        <v>370</v>
      </c>
      <c r="C341" s="6" t="s">
        <v>518</v>
      </c>
      <c r="D341" s="6"/>
    </row>
    <row r="342" spans="1:4" ht="15.75" x14ac:dyDescent="0.25">
      <c r="A342" s="6">
        <v>77</v>
      </c>
      <c r="B342" s="6" t="s">
        <v>477</v>
      </c>
      <c r="C342" s="6" t="s">
        <v>519</v>
      </c>
      <c r="D342" s="6"/>
    </row>
    <row r="343" spans="1:4" ht="15.75" x14ac:dyDescent="0.25">
      <c r="A343" s="6">
        <v>89</v>
      </c>
      <c r="B343" s="6" t="s">
        <v>477</v>
      </c>
      <c r="C343" s="6" t="s">
        <v>519</v>
      </c>
      <c r="D343" s="6"/>
    </row>
    <row r="344" spans="1:4" ht="15.75" x14ac:dyDescent="0.25">
      <c r="A344" s="6">
        <v>125</v>
      </c>
      <c r="B344" s="6" t="s">
        <v>477</v>
      </c>
      <c r="C344" s="6" t="s">
        <v>519</v>
      </c>
      <c r="D344" s="6"/>
    </row>
    <row r="345" spans="1:4" ht="15.75" x14ac:dyDescent="0.25">
      <c r="A345" s="6">
        <v>483</v>
      </c>
      <c r="B345" s="6" t="s">
        <v>477</v>
      </c>
      <c r="C345" s="6" t="s">
        <v>519</v>
      </c>
      <c r="D345" s="6"/>
    </row>
    <row r="346" spans="1:4" ht="15.75" x14ac:dyDescent="0.25">
      <c r="A346" s="6">
        <v>659</v>
      </c>
      <c r="B346" s="6" t="s">
        <v>477</v>
      </c>
      <c r="C346" s="6" t="s">
        <v>519</v>
      </c>
      <c r="D346" s="6"/>
    </row>
    <row r="347" spans="1:4" ht="15.75" x14ac:dyDescent="0.25">
      <c r="A347" s="6">
        <v>12</v>
      </c>
      <c r="B347" s="6" t="s">
        <v>462</v>
      </c>
      <c r="C347" s="6" t="s">
        <v>520</v>
      </c>
      <c r="D347" s="6"/>
    </row>
    <row r="348" spans="1:4" ht="15.75" x14ac:dyDescent="0.25">
      <c r="A348" s="6">
        <v>44</v>
      </c>
      <c r="B348" s="6" t="s">
        <v>462</v>
      </c>
      <c r="C348" s="6" t="s">
        <v>520</v>
      </c>
      <c r="D348" s="6"/>
    </row>
    <row r="349" spans="1:4" ht="15.75" x14ac:dyDescent="0.25">
      <c r="A349" s="6">
        <v>47</v>
      </c>
      <c r="B349" s="6" t="s">
        <v>462</v>
      </c>
      <c r="C349" s="6" t="s">
        <v>520</v>
      </c>
      <c r="D349" s="6"/>
    </row>
    <row r="350" spans="1:4" ht="15.75" x14ac:dyDescent="0.25">
      <c r="A350" s="8">
        <v>57</v>
      </c>
      <c r="B350" s="6" t="s">
        <v>462</v>
      </c>
      <c r="C350" s="6" t="s">
        <v>520</v>
      </c>
      <c r="D350" s="26"/>
    </row>
    <row r="351" spans="1:4" ht="15.75" x14ac:dyDescent="0.25">
      <c r="A351" s="8">
        <v>111</v>
      </c>
      <c r="B351" s="6" t="s">
        <v>462</v>
      </c>
      <c r="C351" s="6" t="s">
        <v>520</v>
      </c>
      <c r="D351" s="26"/>
    </row>
    <row r="352" spans="1:4" ht="15.75" x14ac:dyDescent="0.25">
      <c r="A352" s="8">
        <v>113</v>
      </c>
      <c r="B352" s="6" t="s">
        <v>462</v>
      </c>
      <c r="C352" s="6" t="s">
        <v>520</v>
      </c>
      <c r="D352" s="26"/>
    </row>
    <row r="353" spans="1:4" ht="15.75" x14ac:dyDescent="0.25">
      <c r="A353" s="8">
        <v>291</v>
      </c>
      <c r="B353" s="6" t="s">
        <v>462</v>
      </c>
      <c r="C353" s="6" t="s">
        <v>520</v>
      </c>
      <c r="D353" s="26"/>
    </row>
    <row r="354" spans="1:4" ht="15.75" x14ac:dyDescent="0.25">
      <c r="A354" s="8">
        <v>322</v>
      </c>
      <c r="B354" s="6" t="s">
        <v>462</v>
      </c>
      <c r="C354" s="6" t="s">
        <v>520</v>
      </c>
      <c r="D354" s="26"/>
    </row>
    <row r="355" spans="1:4" ht="15.75" x14ac:dyDescent="0.25">
      <c r="A355" s="8">
        <v>396</v>
      </c>
      <c r="B355" s="6" t="s">
        <v>462</v>
      </c>
      <c r="C355" s="6" t="s">
        <v>520</v>
      </c>
      <c r="D355" s="26"/>
    </row>
    <row r="356" spans="1:4" ht="15.75" x14ac:dyDescent="0.25">
      <c r="A356" s="8">
        <v>449</v>
      </c>
      <c r="B356" s="6" t="s">
        <v>462</v>
      </c>
      <c r="C356" s="6" t="s">
        <v>520</v>
      </c>
      <c r="D356" s="26"/>
    </row>
    <row r="357" spans="1:4" ht="15.75" x14ac:dyDescent="0.25">
      <c r="A357" s="8">
        <v>532</v>
      </c>
      <c r="B357" s="6" t="s">
        <v>462</v>
      </c>
      <c r="C357" s="6" t="s">
        <v>520</v>
      </c>
      <c r="D357" s="26"/>
    </row>
    <row r="358" spans="1:4" ht="15.75" x14ac:dyDescent="0.25">
      <c r="A358" s="8">
        <v>768</v>
      </c>
      <c r="B358" s="6" t="s">
        <v>462</v>
      </c>
      <c r="C358" s="6" t="s">
        <v>520</v>
      </c>
      <c r="D358" s="26"/>
    </row>
    <row r="359" spans="1:4" ht="15.75" x14ac:dyDescent="0.25">
      <c r="A359" s="8">
        <v>1245</v>
      </c>
      <c r="B359" s="6" t="s">
        <v>462</v>
      </c>
      <c r="C359" s="6" t="s">
        <v>520</v>
      </c>
      <c r="D359" s="2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8979-A4F6-47C0-B9E4-7218E6A379B6}">
  <dimension ref="A1:D9"/>
  <sheetViews>
    <sheetView workbookViewId="0">
      <selection activeCell="B45" sqref="B45"/>
    </sheetView>
  </sheetViews>
  <sheetFormatPr defaultRowHeight="15" x14ac:dyDescent="0.25"/>
  <cols>
    <col min="1" max="1" width="73.5703125" bestFit="1" customWidth="1"/>
    <col min="3" max="3" width="16.28515625" bestFit="1" customWidth="1"/>
    <col min="4" max="4" width="43.7109375" bestFit="1" customWidth="1"/>
  </cols>
  <sheetData>
    <row r="1" spans="1:4" x14ac:dyDescent="0.25">
      <c r="A1" t="s">
        <v>607</v>
      </c>
    </row>
    <row r="2" spans="1:4" ht="16.5" x14ac:dyDescent="0.3">
      <c r="A2" s="17" t="s">
        <v>612</v>
      </c>
      <c r="B2" t="s">
        <v>609</v>
      </c>
      <c r="C2" t="s">
        <v>613</v>
      </c>
      <c r="D2" s="24" t="s">
        <v>621</v>
      </c>
    </row>
    <row r="3" spans="1:4" ht="16.5" x14ac:dyDescent="0.3">
      <c r="A3" s="17" t="s">
        <v>614</v>
      </c>
      <c r="B3" t="s">
        <v>610</v>
      </c>
      <c r="C3" s="17" t="s">
        <v>613</v>
      </c>
      <c r="D3" s="24" t="s">
        <v>622</v>
      </c>
    </row>
    <row r="4" spans="1:4" ht="16.5" x14ac:dyDescent="0.3">
      <c r="A4" s="17" t="s">
        <v>615</v>
      </c>
      <c r="B4" t="s">
        <v>611</v>
      </c>
      <c r="C4" s="17" t="s">
        <v>613</v>
      </c>
      <c r="D4" s="24" t="s">
        <v>622</v>
      </c>
    </row>
    <row r="5" spans="1:4" ht="16.5" x14ac:dyDescent="0.3">
      <c r="A5" s="17" t="s">
        <v>616</v>
      </c>
      <c r="B5" t="s">
        <v>611</v>
      </c>
      <c r="C5" s="17" t="s">
        <v>613</v>
      </c>
      <c r="D5" s="24" t="s">
        <v>622</v>
      </c>
    </row>
    <row r="6" spans="1:4" ht="16.5" x14ac:dyDescent="0.3">
      <c r="A6" s="17" t="s">
        <v>617</v>
      </c>
      <c r="B6" t="s">
        <v>611</v>
      </c>
      <c r="C6" s="17" t="s">
        <v>613</v>
      </c>
      <c r="D6" s="24" t="s">
        <v>620</v>
      </c>
    </row>
    <row r="7" spans="1:4" ht="16.5" x14ac:dyDescent="0.3">
      <c r="A7" s="17" t="s">
        <v>618</v>
      </c>
      <c r="B7" t="s">
        <v>609</v>
      </c>
      <c r="C7" s="17" t="s">
        <v>613</v>
      </c>
      <c r="D7" s="24" t="s">
        <v>608</v>
      </c>
    </row>
    <row r="8" spans="1:4" ht="16.5" x14ac:dyDescent="0.3">
      <c r="A8" s="17" t="s">
        <v>617</v>
      </c>
      <c r="B8" t="s">
        <v>611</v>
      </c>
      <c r="C8" s="17" t="s">
        <v>613</v>
      </c>
      <c r="D8" s="24" t="s">
        <v>608</v>
      </c>
    </row>
    <row r="9" spans="1:4" ht="16.5" x14ac:dyDescent="0.3">
      <c r="A9" s="17" t="s">
        <v>619</v>
      </c>
      <c r="B9" t="s">
        <v>611</v>
      </c>
      <c r="C9" s="17" t="s">
        <v>613</v>
      </c>
      <c r="D9" s="24" t="s">
        <v>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9EE61-5F33-4FB6-B037-08C7DA02B8FD}">
  <dimension ref="A1:E27"/>
  <sheetViews>
    <sheetView workbookViewId="0">
      <selection activeCell="C49" sqref="C49"/>
    </sheetView>
  </sheetViews>
  <sheetFormatPr defaultRowHeight="15" x14ac:dyDescent="0.25"/>
  <cols>
    <col min="1" max="1" width="40.42578125" bestFit="1" customWidth="1"/>
    <col min="2" max="2" width="10.42578125" bestFit="1" customWidth="1"/>
    <col min="3" max="3" width="24.42578125" bestFit="1" customWidth="1"/>
    <col min="4" max="4" width="20.5703125" bestFit="1" customWidth="1"/>
    <col min="5" max="5" width="35.42578125" bestFit="1" customWidth="1"/>
  </cols>
  <sheetData>
    <row r="1" spans="1:5" x14ac:dyDescent="0.25">
      <c r="A1" s="18" t="s">
        <v>521</v>
      </c>
      <c r="B1" s="21" t="s">
        <v>522</v>
      </c>
      <c r="C1" s="18" t="s">
        <v>523</v>
      </c>
      <c r="D1" s="19" t="s">
        <v>524</v>
      </c>
      <c r="E1" s="18" t="s">
        <v>525</v>
      </c>
    </row>
    <row r="2" spans="1:5" ht="18" x14ac:dyDescent="0.25">
      <c r="A2" s="22" t="s">
        <v>526</v>
      </c>
      <c r="B2" s="23">
        <v>640</v>
      </c>
      <c r="C2" s="20" t="s">
        <v>527</v>
      </c>
      <c r="D2" s="20" t="s">
        <v>528</v>
      </c>
      <c r="E2" s="20" t="s">
        <v>529</v>
      </c>
    </row>
    <row r="3" spans="1:5" ht="18" x14ac:dyDescent="0.25">
      <c r="A3" s="22" t="s">
        <v>530</v>
      </c>
      <c r="B3" s="23">
        <v>48</v>
      </c>
      <c r="C3" s="20" t="s">
        <v>531</v>
      </c>
      <c r="D3" s="20" t="s">
        <v>532</v>
      </c>
      <c r="E3" s="20" t="s">
        <v>533</v>
      </c>
    </row>
    <row r="4" spans="1:5" ht="18" x14ac:dyDescent="0.25">
      <c r="A4" s="22" t="s">
        <v>534</v>
      </c>
      <c r="B4" s="23">
        <v>357</v>
      </c>
      <c r="C4" s="20" t="s">
        <v>535</v>
      </c>
      <c r="D4" s="20" t="s">
        <v>536</v>
      </c>
      <c r="E4" s="20" t="s">
        <v>537</v>
      </c>
    </row>
    <row r="5" spans="1:5" ht="18" x14ac:dyDescent="0.25">
      <c r="A5" s="22" t="s">
        <v>538</v>
      </c>
      <c r="B5" s="23">
        <v>112</v>
      </c>
      <c r="C5" s="20" t="s">
        <v>539</v>
      </c>
      <c r="D5" s="20" t="s">
        <v>532</v>
      </c>
      <c r="E5" s="20" t="s">
        <v>540</v>
      </c>
    </row>
    <row r="6" spans="1:5" ht="18" x14ac:dyDescent="0.25">
      <c r="A6" s="22" t="s">
        <v>541</v>
      </c>
      <c r="B6" s="23">
        <v>340</v>
      </c>
      <c r="C6" s="20" t="s">
        <v>542</v>
      </c>
      <c r="D6" s="20" t="s">
        <v>543</v>
      </c>
      <c r="E6" s="20" t="s">
        <v>544</v>
      </c>
    </row>
    <row r="7" spans="1:5" ht="18" x14ac:dyDescent="0.25">
      <c r="A7" s="22" t="s">
        <v>545</v>
      </c>
      <c r="B7" s="23">
        <v>280</v>
      </c>
      <c r="C7" s="20" t="s">
        <v>546</v>
      </c>
      <c r="D7" s="20" t="s">
        <v>532</v>
      </c>
      <c r="E7" s="20" t="s">
        <v>547</v>
      </c>
    </row>
    <row r="8" spans="1:5" ht="18" x14ac:dyDescent="0.25">
      <c r="A8" s="22" t="s">
        <v>548</v>
      </c>
      <c r="B8" s="23">
        <v>26</v>
      </c>
      <c r="C8" s="20" t="s">
        <v>549</v>
      </c>
      <c r="D8" s="20" t="s">
        <v>550</v>
      </c>
      <c r="E8" s="20" t="s">
        <v>551</v>
      </c>
    </row>
    <row r="9" spans="1:5" ht="18" x14ac:dyDescent="0.25">
      <c r="A9" s="22" t="s">
        <v>552</v>
      </c>
      <c r="B9" s="23">
        <v>60</v>
      </c>
      <c r="C9" s="20" t="s">
        <v>553</v>
      </c>
      <c r="D9" s="20" t="s">
        <v>554</v>
      </c>
      <c r="E9" s="20" t="s">
        <v>555</v>
      </c>
    </row>
    <row r="10" spans="1:5" ht="18" x14ac:dyDescent="0.25">
      <c r="A10" s="22" t="s">
        <v>556</v>
      </c>
      <c r="B10" s="23">
        <v>716</v>
      </c>
      <c r="C10" s="20" t="s">
        <v>557</v>
      </c>
      <c r="D10" s="20" t="s">
        <v>554</v>
      </c>
      <c r="E10" s="20" t="s">
        <v>558</v>
      </c>
    </row>
    <row r="11" spans="1:5" ht="18" x14ac:dyDescent="0.25">
      <c r="A11" s="22" t="s">
        <v>556</v>
      </c>
      <c r="B11" s="23">
        <v>278</v>
      </c>
      <c r="C11" s="20" t="s">
        <v>557</v>
      </c>
      <c r="D11" s="20" t="s">
        <v>554</v>
      </c>
      <c r="E11" s="20" t="s">
        <v>558</v>
      </c>
    </row>
    <row r="12" spans="1:5" ht="18" x14ac:dyDescent="0.25">
      <c r="A12" s="22" t="s">
        <v>559</v>
      </c>
      <c r="B12" s="23">
        <v>24</v>
      </c>
      <c r="C12" s="20" t="s">
        <v>560</v>
      </c>
      <c r="D12" s="20" t="s">
        <v>561</v>
      </c>
      <c r="E12" s="20" t="s">
        <v>562</v>
      </c>
    </row>
    <row r="13" spans="1:5" ht="18" x14ac:dyDescent="0.25">
      <c r="A13" s="22" t="s">
        <v>563</v>
      </c>
      <c r="B13" s="23">
        <v>569</v>
      </c>
      <c r="C13" s="20" t="s">
        <v>564</v>
      </c>
      <c r="D13" s="20" t="s">
        <v>565</v>
      </c>
      <c r="E13" s="20" t="s">
        <v>566</v>
      </c>
    </row>
    <row r="14" spans="1:5" ht="18" x14ac:dyDescent="0.25">
      <c r="A14" s="22" t="s">
        <v>567</v>
      </c>
      <c r="B14" s="23">
        <v>20</v>
      </c>
      <c r="C14" s="20" t="s">
        <v>553</v>
      </c>
      <c r="D14" s="20" t="s">
        <v>554</v>
      </c>
      <c r="E14" s="20" t="s">
        <v>555</v>
      </c>
    </row>
    <row r="15" spans="1:5" ht="18" x14ac:dyDescent="0.25">
      <c r="A15" s="22" t="s">
        <v>568</v>
      </c>
      <c r="B15" s="23">
        <v>379</v>
      </c>
      <c r="C15" s="20" t="s">
        <v>569</v>
      </c>
      <c r="D15" s="20" t="s">
        <v>570</v>
      </c>
      <c r="E15" s="20" t="s">
        <v>571</v>
      </c>
    </row>
    <row r="16" spans="1:5" ht="18" x14ac:dyDescent="0.25">
      <c r="A16" s="22" t="s">
        <v>572</v>
      </c>
      <c r="B16" s="23">
        <v>441</v>
      </c>
      <c r="C16" s="20" t="s">
        <v>573</v>
      </c>
      <c r="D16" s="20" t="s">
        <v>565</v>
      </c>
      <c r="E16" s="20" t="s">
        <v>574</v>
      </c>
    </row>
    <row r="17" spans="1:5" ht="18" x14ac:dyDescent="0.25">
      <c r="A17" s="22" t="s">
        <v>575</v>
      </c>
      <c r="B17" s="23">
        <v>520</v>
      </c>
      <c r="C17" s="20" t="s">
        <v>557</v>
      </c>
      <c r="D17" s="20" t="s">
        <v>554</v>
      </c>
      <c r="E17" s="20" t="s">
        <v>558</v>
      </c>
    </row>
    <row r="18" spans="1:5" ht="18" x14ac:dyDescent="0.25">
      <c r="A18" s="22" t="s">
        <v>576</v>
      </c>
      <c r="B18" s="23" t="s">
        <v>577</v>
      </c>
      <c r="C18" s="20" t="s">
        <v>578</v>
      </c>
      <c r="D18" s="20" t="s">
        <v>579</v>
      </c>
      <c r="E18" s="20" t="s">
        <v>580</v>
      </c>
    </row>
    <row r="19" spans="1:5" ht="18" x14ac:dyDescent="0.25">
      <c r="A19" s="22" t="s">
        <v>581</v>
      </c>
      <c r="B19" s="23">
        <v>1186</v>
      </c>
      <c r="C19" s="20" t="s">
        <v>582</v>
      </c>
      <c r="D19" s="20" t="s">
        <v>583</v>
      </c>
      <c r="E19" s="20" t="s">
        <v>584</v>
      </c>
    </row>
    <row r="20" spans="1:5" ht="18" x14ac:dyDescent="0.25">
      <c r="A20" s="22" t="s">
        <v>556</v>
      </c>
      <c r="B20" s="23">
        <v>1015</v>
      </c>
      <c r="C20" s="20" t="s">
        <v>557</v>
      </c>
      <c r="D20" s="20" t="s">
        <v>554</v>
      </c>
      <c r="E20" s="20" t="s">
        <v>558</v>
      </c>
    </row>
    <row r="21" spans="1:5" ht="18" x14ac:dyDescent="0.25">
      <c r="A21" s="22" t="s">
        <v>585</v>
      </c>
      <c r="B21" s="23" t="s">
        <v>586</v>
      </c>
      <c r="C21" s="20" t="s">
        <v>531</v>
      </c>
      <c r="D21" s="20" t="s">
        <v>532</v>
      </c>
      <c r="E21" s="20" t="s">
        <v>533</v>
      </c>
    </row>
    <row r="22" spans="1:5" ht="18" x14ac:dyDescent="0.25">
      <c r="A22" s="22" t="s">
        <v>587</v>
      </c>
      <c r="B22" s="23">
        <v>429</v>
      </c>
      <c r="C22" s="20" t="s">
        <v>588</v>
      </c>
      <c r="D22" s="20" t="s">
        <v>589</v>
      </c>
      <c r="E22" s="20" t="s">
        <v>590</v>
      </c>
    </row>
    <row r="23" spans="1:5" ht="18" x14ac:dyDescent="0.25">
      <c r="A23" s="22" t="s">
        <v>591</v>
      </c>
      <c r="B23" s="23">
        <v>332</v>
      </c>
      <c r="C23" s="20" t="s">
        <v>592</v>
      </c>
      <c r="D23" s="20" t="s">
        <v>579</v>
      </c>
      <c r="E23" s="20" t="s">
        <v>593</v>
      </c>
    </row>
    <row r="24" spans="1:5" ht="18" x14ac:dyDescent="0.25">
      <c r="A24" s="22" t="s">
        <v>594</v>
      </c>
      <c r="B24" s="23">
        <v>11</v>
      </c>
      <c r="C24" s="20" t="s">
        <v>595</v>
      </c>
      <c r="D24" s="20" t="s">
        <v>596</v>
      </c>
      <c r="E24" s="20" t="s">
        <v>597</v>
      </c>
    </row>
    <row r="25" spans="1:5" ht="18" x14ac:dyDescent="0.25">
      <c r="A25" s="22" t="s">
        <v>598</v>
      </c>
      <c r="B25" s="23">
        <v>6</v>
      </c>
      <c r="C25" s="20" t="s">
        <v>599</v>
      </c>
      <c r="D25" s="20" t="s">
        <v>600</v>
      </c>
      <c r="E25" s="20" t="s">
        <v>601</v>
      </c>
    </row>
    <row r="26" spans="1:5" ht="18" x14ac:dyDescent="0.25">
      <c r="A26" s="22" t="s">
        <v>602</v>
      </c>
      <c r="B26" s="23">
        <v>291</v>
      </c>
      <c r="C26" s="20" t="s">
        <v>531</v>
      </c>
      <c r="D26" s="20" t="s">
        <v>603</v>
      </c>
      <c r="E26" s="20" t="s">
        <v>533</v>
      </c>
    </row>
    <row r="27" spans="1:5" ht="18" x14ac:dyDescent="0.25">
      <c r="A27" s="22" t="s">
        <v>541</v>
      </c>
      <c r="B27" s="23">
        <v>401</v>
      </c>
      <c r="C27" s="20" t="s">
        <v>604</v>
      </c>
      <c r="D27" s="20" t="s">
        <v>605</v>
      </c>
      <c r="E27" s="20" t="s">
        <v>606</v>
      </c>
    </row>
  </sheetData>
  <hyperlinks>
    <hyperlink ref="E13" r:id="rId1" xr:uid="{E9EDE000-B4A9-4931-AB05-D7B0A69C0825}"/>
    <hyperlink ref="E3" r:id="rId2" xr:uid="{1BD7D664-B212-4574-94F2-F6061C21AF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Unions</vt:lpstr>
      <vt:lpstr>NECA Chapters(Debra)</vt:lpstr>
      <vt:lpstr>NECA Committees REI reps</vt:lpstr>
      <vt:lpstr>NECA REI Contact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 Pham</dc:creator>
  <cp:lastModifiedBy>Diya Peter</cp:lastModifiedBy>
  <dcterms:created xsi:type="dcterms:W3CDTF">2020-01-11T00:19:57Z</dcterms:created>
  <dcterms:modified xsi:type="dcterms:W3CDTF">2026-01-30T23:38:35Z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